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"/>
    </mc:Choice>
  </mc:AlternateContent>
  <xr:revisionPtr revIDLastSave="0" documentId="8_{B29E5027-F8F9-4689-B2BC-0630AC6F49D6}" xr6:coauthVersionLast="47" xr6:coauthVersionMax="47" xr10:uidLastSave="{00000000-0000-0000-0000-000000000000}"/>
  <bookViews>
    <workbookView xWindow="-108" yWindow="-108" windowWidth="23256" windowHeight="12456" xr2:uid="{7F6D6838-4244-42D0-9209-07E5AFB7D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N22" i="1"/>
  <c r="M22" i="1"/>
  <c r="E22" i="1"/>
  <c r="N19" i="1"/>
  <c r="O19" i="1"/>
  <c r="N14" i="1"/>
  <c r="O14" i="1"/>
  <c r="N13" i="1"/>
  <c r="O13" i="1"/>
  <c r="M14" i="1"/>
  <c r="M19" i="1"/>
  <c r="N12" i="1"/>
  <c r="O12" i="1"/>
  <c r="N11" i="1"/>
  <c r="O11" i="1"/>
  <c r="N10" i="1"/>
  <c r="O10" i="1"/>
  <c r="N9" i="1"/>
  <c r="O9" i="1"/>
  <c r="N8" i="1"/>
  <c r="O8" i="1"/>
  <c r="N7" i="1"/>
  <c r="O7" i="1"/>
  <c r="N6" i="1"/>
  <c r="O6" i="1"/>
  <c r="N5" i="1"/>
  <c r="O5" i="1"/>
  <c r="M13" i="1"/>
  <c r="M12" i="1"/>
  <c r="M11" i="1"/>
  <c r="M10" i="1"/>
  <c r="M9" i="1"/>
  <c r="M8" i="1"/>
  <c r="M7" i="1"/>
  <c r="M6" i="1"/>
  <c r="M5" i="1"/>
  <c r="F22" i="1"/>
  <c r="G22" i="1"/>
  <c r="F19" i="1"/>
  <c r="G19" i="1"/>
  <c r="F18" i="1"/>
  <c r="G18" i="1"/>
  <c r="F17" i="1"/>
  <c r="G17" i="1"/>
  <c r="F16" i="1"/>
  <c r="G16" i="1"/>
  <c r="E19" i="1"/>
  <c r="E18" i="1"/>
  <c r="E17" i="1"/>
  <c r="E16" i="1"/>
  <c r="F15" i="1"/>
  <c r="G15" i="1"/>
  <c r="E15" i="1"/>
  <c r="F14" i="1"/>
  <c r="G14" i="1"/>
  <c r="E14" i="1"/>
  <c r="F13" i="1"/>
  <c r="G13" i="1"/>
  <c r="E13" i="1"/>
  <c r="F12" i="1"/>
  <c r="G12" i="1"/>
  <c r="E12" i="1"/>
  <c r="F11" i="1"/>
  <c r="G11" i="1"/>
  <c r="E11" i="1"/>
  <c r="F10" i="1"/>
  <c r="G10" i="1"/>
  <c r="E10" i="1"/>
  <c r="F9" i="1"/>
  <c r="G9" i="1"/>
  <c r="E9" i="1"/>
  <c r="F8" i="1"/>
  <c r="G8" i="1"/>
  <c r="E8" i="1"/>
  <c r="F7" i="1"/>
  <c r="G7" i="1"/>
  <c r="E7" i="1"/>
  <c r="F6" i="1"/>
  <c r="G6" i="1"/>
  <c r="E6" i="1"/>
  <c r="G5" i="1"/>
  <c r="F5" i="1"/>
  <c r="E5" i="1"/>
</calcChain>
</file>

<file path=xl/sharedStrings.xml><?xml version="1.0" encoding="utf-8"?>
<sst xmlns="http://schemas.openxmlformats.org/spreadsheetml/2006/main" count="59" uniqueCount="28">
  <si>
    <t>School shopping</t>
  </si>
  <si>
    <t xml:space="preserve">Susan's Shopping list </t>
  </si>
  <si>
    <t>Walt-Mart</t>
  </si>
  <si>
    <t xml:space="preserve"> Ball point pen</t>
  </si>
  <si>
    <t xml:space="preserve"> Ti-35 Calculator</t>
  </si>
  <si>
    <t>100pages notebooks</t>
  </si>
  <si>
    <t>Bottle of Boz glue</t>
  </si>
  <si>
    <t>Roll of clear tape</t>
  </si>
  <si>
    <t xml:space="preserve"> Eraserrs</t>
  </si>
  <si>
    <t>inch Binders</t>
  </si>
  <si>
    <t xml:space="preserve">  @pencils</t>
  </si>
  <si>
    <t>USB Stick 5gb</t>
  </si>
  <si>
    <t xml:space="preserve">Box of  a color Markers </t>
  </si>
  <si>
    <t>Staper</t>
  </si>
  <si>
    <t xml:space="preserve"> Protractor</t>
  </si>
  <si>
    <t>Compass</t>
  </si>
  <si>
    <t>Bottle liquid paper</t>
  </si>
  <si>
    <t>Dollar Trap</t>
  </si>
  <si>
    <t>Office Repo</t>
  </si>
  <si>
    <t>Cost</t>
  </si>
  <si>
    <t>Planner Block</t>
  </si>
  <si>
    <t>P-Walt_Mart</t>
  </si>
  <si>
    <t>P-DollarTrap</t>
  </si>
  <si>
    <t>P-Office Repo</t>
  </si>
  <si>
    <t>P=Price</t>
  </si>
  <si>
    <t xml:space="preserve">Cost </t>
  </si>
  <si>
    <t>Tim sjopping lst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</si>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</sst>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Susan's</a:t>
            </a:r>
            <a:r>
              <a:rPr lang="en-IN" baseline="0"/>
              <a:t> Shopping List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P-Walt_Mart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Sheet1!$E$5:$E$19</c:f>
              <c:numCache>
                <c:formatCode>_-[$$-409]* #,##0.00_ ;_-[$$-409]* \-#,##0.00\ ;_-[$$-409]* "-"??_ ;_-@_ </c:formatCode>
                <c:ptCount val="15"/>
                <c:pt idx="0">
                  <c:v>1.5</c:v>
                </c:pt>
                <c:pt idx="1">
                  <c:v>28</c:v>
                </c:pt>
                <c:pt idx="2">
                  <c:v>3.6</c:v>
                </c:pt>
                <c:pt idx="3">
                  <c:v>1.2</c:v>
                </c:pt>
                <c:pt idx="4">
                  <c:v>4.8</c:v>
                </c:pt>
                <c:pt idx="5">
                  <c:v>1.8</c:v>
                </c:pt>
                <c:pt idx="6">
                  <c:v>1.98</c:v>
                </c:pt>
                <c:pt idx="7">
                  <c:v>52.5</c:v>
                </c:pt>
                <c:pt idx="8">
                  <c:v>19</c:v>
                </c:pt>
                <c:pt idx="9">
                  <c:v>9.1</c:v>
                </c:pt>
                <c:pt idx="10">
                  <c:v>4.2</c:v>
                </c:pt>
                <c:pt idx="11">
                  <c:v>7.8</c:v>
                </c:pt>
                <c:pt idx="12">
                  <c:v>2</c:v>
                </c:pt>
                <c:pt idx="13">
                  <c:v>3.5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B-4200-B74D-ECBD43611712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P-DollarTrap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Sheet1!$F$5:$F$19</c:f>
              <c:numCache>
                <c:formatCode>_-[$$-409]* #,##0.00_ ;_-[$$-409]* \-#,##0.00\ ;_-[$$-409]* "-"??_ ;_-@_ </c:formatCode>
                <c:ptCount val="15"/>
                <c:pt idx="0">
                  <c:v>1.2000000000000002</c:v>
                </c:pt>
                <c:pt idx="1">
                  <c:v>33</c:v>
                </c:pt>
                <c:pt idx="2">
                  <c:v>2</c:v>
                </c:pt>
                <c:pt idx="3">
                  <c:v>0.8</c:v>
                </c:pt>
                <c:pt idx="4">
                  <c:v>2.8</c:v>
                </c:pt>
                <c:pt idx="5">
                  <c:v>0.4</c:v>
                </c:pt>
                <c:pt idx="6">
                  <c:v>1.18</c:v>
                </c:pt>
                <c:pt idx="7">
                  <c:v>136.5</c:v>
                </c:pt>
                <c:pt idx="8">
                  <c:v>28</c:v>
                </c:pt>
                <c:pt idx="9">
                  <c:v>5.0999999999999996</c:v>
                </c:pt>
                <c:pt idx="10">
                  <c:v>2.2000000000000002</c:v>
                </c:pt>
                <c:pt idx="11">
                  <c:v>10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B-4200-B74D-ECBD43611712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P-Office 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Sheet1!$G$5:$G$19</c:f>
              <c:numCache>
                <c:formatCode>_-[$$-409]* #,##0.00_ ;_-[$$-409]* \-#,##0.00\ ;_-[$$-409]* "-"??_ ;_-@_ </c:formatCode>
                <c:ptCount val="15"/>
                <c:pt idx="0">
                  <c:v>4.1999999999999993</c:v>
                </c:pt>
                <c:pt idx="1">
                  <c:v>31</c:v>
                </c:pt>
                <c:pt idx="2">
                  <c:v>4</c:v>
                </c:pt>
                <c:pt idx="3">
                  <c:v>1.5</c:v>
                </c:pt>
                <c:pt idx="4">
                  <c:v>4.8</c:v>
                </c:pt>
                <c:pt idx="5">
                  <c:v>1.6</c:v>
                </c:pt>
                <c:pt idx="6">
                  <c:v>5.18</c:v>
                </c:pt>
                <c:pt idx="7">
                  <c:v>90.3</c:v>
                </c:pt>
                <c:pt idx="8">
                  <c:v>26</c:v>
                </c:pt>
                <c:pt idx="9">
                  <c:v>12</c:v>
                </c:pt>
                <c:pt idx="10">
                  <c:v>3</c:v>
                </c:pt>
                <c:pt idx="11">
                  <c:v>16</c:v>
                </c:pt>
                <c:pt idx="12">
                  <c:v>2</c:v>
                </c:pt>
                <c:pt idx="13">
                  <c:v>2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B-4200-B74D-ECBD43611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305056"/>
        <c:axId val="1698306496"/>
      </c:barChart>
      <c:catAx>
        <c:axId val="1698305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06496"/>
        <c:crosses val="autoZero"/>
        <c:auto val="1"/>
        <c:lblAlgn val="ctr"/>
        <c:lblOffset val="100"/>
        <c:noMultiLvlLbl val="0"/>
      </c:catAx>
      <c:valAx>
        <c:axId val="16983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Tims</a:t>
            </a:r>
            <a:r>
              <a:rPr lang="en-IN" baseline="0"/>
              <a:t> Shopping List</a:t>
            </a:r>
            <a:endParaRPr lang="en-IN"/>
          </a:p>
        </c:rich>
      </c:tx>
      <c:layout>
        <c:manualLayout>
          <c:xMode val="edge"/>
          <c:yMode val="edge"/>
          <c:x val="0.4118678915135607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Sheet1!$M$4:$M$18</c:f>
              <c:strCache>
                <c:ptCount val="15"/>
                <c:pt idx="0">
                  <c:v>P-Walt_Mart</c:v>
                </c:pt>
                <c:pt idx="1">
                  <c:v> $2.50 </c:v>
                </c:pt>
                <c:pt idx="2">
                  <c:v> $28.00 </c:v>
                </c:pt>
                <c:pt idx="3">
                  <c:v> $7.20 </c:v>
                </c:pt>
                <c:pt idx="4">
                  <c:v> $2.40 </c:v>
                </c:pt>
                <c:pt idx="5">
                  <c:v> $4.80 </c:v>
                </c:pt>
                <c:pt idx="6">
                  <c:v> $1.80 </c:v>
                </c:pt>
                <c:pt idx="7">
                  <c:v> $9.90 </c:v>
                </c:pt>
                <c:pt idx="8">
                  <c:v> $15.00 </c:v>
                </c:pt>
                <c:pt idx="9">
                  <c:v> $1.25 </c:v>
                </c:pt>
                <c:pt idx="10">
                  <c:v> $4.55 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Sheet1!$M$19:$M$22</c:f>
              <c:numCache>
                <c:formatCode>General</c:formatCode>
                <c:ptCount val="4"/>
                <c:pt idx="0" formatCode="_-[$$-409]* #,##0.00_ ;_-[$$-409]* \-#,##0.00\ ;_-[$$-409]* &quot;-&quot;??_ ;_-@_ ">
                  <c:v>4</c:v>
                </c:pt>
                <c:pt idx="3" formatCode="_-[$$-409]* #,##0.00_ ;_-[$$-409]* \-#,##0.00\ ;_-[$$-409]* &quot;-&quot;??_ ;_-@_ ">
                  <c:v>81.399999999999991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0-4A5F-8C09-5CC13BE1D06C}"/>
            </c:ext>
          </c:extLst>
        </c:ser>
        <c:ser>
          <c:idx val="1"/>
          <c:order val="1"/>
          <c:tx>
            <c:strRef>
              <c:f>Sheet1!$N$4:$N$18</c:f>
              <c:strCache>
                <c:ptCount val="15"/>
                <c:pt idx="0">
                  <c:v>P-DollarTrap</c:v>
                </c:pt>
                <c:pt idx="1">
                  <c:v> $2.00 </c:v>
                </c:pt>
                <c:pt idx="2">
                  <c:v> $33.00 </c:v>
                </c:pt>
                <c:pt idx="3">
                  <c:v> $4.00 </c:v>
                </c:pt>
                <c:pt idx="4">
                  <c:v> $1.60 </c:v>
                </c:pt>
                <c:pt idx="5">
                  <c:v> $2.80 </c:v>
                </c:pt>
                <c:pt idx="6">
                  <c:v> $0.40 </c:v>
                </c:pt>
                <c:pt idx="7">
                  <c:v> $5.90 </c:v>
                </c:pt>
                <c:pt idx="8">
                  <c:v> $39.00 </c:v>
                </c:pt>
                <c:pt idx="9">
                  <c:v> $3.25 </c:v>
                </c:pt>
                <c:pt idx="10">
                  <c:v> $2.55 </c:v>
                </c:pt>
                <c:pt idx="11">
                  <c:v>-</c:v>
                </c:pt>
                <c:pt idx="14">
                  <c:v>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Sheet1!$N$19:$N$22</c:f>
              <c:numCache>
                <c:formatCode>General</c:formatCode>
                <c:ptCount val="4"/>
                <c:pt idx="0" formatCode="_-[$$-409]* #,##0.00_ ;_-[$$-409]* \-#,##0.00\ ;_-[$$-409]* &quot;-&quot;??_ ;_-@_ ">
                  <c:v>2</c:v>
                </c:pt>
                <c:pt idx="3" formatCode="_-[$$-409]* #,##0.00_ ;_-[$$-409]* \-#,##0.00\ ;_-[$$-409]* &quot;-&quot;??_ ;_-@_ ">
                  <c:v>96.499999999999986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0-4A5F-8C09-5CC13BE1D06C}"/>
            </c:ext>
          </c:extLst>
        </c:ser>
        <c:ser>
          <c:idx val="2"/>
          <c:order val="2"/>
          <c:tx>
            <c:strRef>
              <c:f>Sheet1!$O$4:$O$18</c:f>
              <c:strCache>
                <c:ptCount val="15"/>
                <c:pt idx="0">
                  <c:v>P-Office Repo</c:v>
                </c:pt>
                <c:pt idx="1">
                  <c:v> $7.00 </c:v>
                </c:pt>
                <c:pt idx="2">
                  <c:v> $31.00 </c:v>
                </c:pt>
                <c:pt idx="3">
                  <c:v> $8.00 </c:v>
                </c:pt>
                <c:pt idx="4">
                  <c:v> $3.00 </c:v>
                </c:pt>
                <c:pt idx="5">
                  <c:v> $4.80 </c:v>
                </c:pt>
                <c:pt idx="6">
                  <c:v> $1.60 </c:v>
                </c:pt>
                <c:pt idx="7">
                  <c:v> $25.90 </c:v>
                </c:pt>
                <c:pt idx="8">
                  <c:v> $25.80 </c:v>
                </c:pt>
                <c:pt idx="9">
                  <c:v> $2.15 </c:v>
                </c:pt>
                <c:pt idx="10">
                  <c:v> $6.00 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Sheet1!$O$19:$O$22</c:f>
              <c:numCache>
                <c:formatCode>General</c:formatCode>
                <c:ptCount val="4"/>
                <c:pt idx="0" formatCode="_-[$$-409]* #,##0.00_ ;_-[$$-409]* \-#,##0.00\ ;_-[$$-409]* &quot;-&quot;??_ ;_-@_ ">
                  <c:v>6</c:v>
                </c:pt>
                <c:pt idx="3" formatCode="_-[$$-409]* #,##0.00_ ;_-[$$-409]* \-#,##0.00\ ;_-[$$-409]* &quot;-&quot;??_ ;_-@_ ">
                  <c:v>121.25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0-4A5F-8C09-5CC13BE1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58608"/>
        <c:axId val="110768208"/>
      </c:barChart>
      <c:catAx>
        <c:axId val="11075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8208"/>
        <c:crosses val="autoZero"/>
        <c:auto val="1"/>
        <c:lblAlgn val="ctr"/>
        <c:lblOffset val="100"/>
        <c:noMultiLvlLbl val="0"/>
      </c:catAx>
      <c:valAx>
        <c:axId val="1107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99060</xdr:rowOff>
    </xdr:from>
    <xdr:to>
      <xdr:col>6</xdr:col>
      <xdr:colOff>800100</xdr:colOff>
      <xdr:row>38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F1276-53FC-9591-354A-7022268C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632460</xdr:colOff>
      <xdr:row>23</xdr:row>
      <xdr:rowOff>22860</xdr:rowOff>
    </xdr:from>
    <xdr:to>
      <xdr:col>15</xdr:col>
      <xdr:colOff>320040</xdr:colOff>
      <xdr:row>37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6FFB9F-8286-8916-432F-8FC5C0DC9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B7DA-64F8-45F2-8E72-FCE49EDD3D51}">
  <dimension ref="A1:O22"/>
  <sheetViews>
    <sheetView tabSelected="1" workbookViewId="0">
      <selection activeCell="I32" sqref="I32"/>
    </sheetView>
  </sheetViews>
  <sheetFormatPr defaultRowHeight="14.4" x14ac:dyDescent="0.3"/>
  <cols>
    <col min="1" max="1" width="20" customWidth="1"/>
    <col min="2" max="2" width="12" customWidth="1"/>
    <col min="3" max="3" width="11" customWidth="1"/>
    <col min="4" max="4" width="10.33203125" customWidth="1"/>
    <col min="5" max="5" width="10.88671875" customWidth="1"/>
    <col min="6" max="6" width="11.33203125" customWidth="1"/>
    <col min="7" max="7" width="11.88671875" customWidth="1"/>
    <col min="9" max="9" width="17.5546875" customWidth="1"/>
    <col min="10" max="10" width="10.33203125" customWidth="1"/>
    <col min="11" max="11" width="11.109375" customWidth="1"/>
    <col min="12" max="12" width="10.33203125" customWidth="1"/>
    <col min="13" max="13" width="12.21875" customWidth="1"/>
    <col min="14" max="14" width="13.109375" customWidth="1"/>
    <col min="15" max="15" width="12" customWidth="1"/>
  </cols>
  <sheetData>
    <row r="1" spans="1:15" x14ac:dyDescent="0.3">
      <c r="A1" t="s">
        <v>0</v>
      </c>
    </row>
    <row r="2" spans="1:15" x14ac:dyDescent="0.3">
      <c r="A2" t="s">
        <v>1</v>
      </c>
      <c r="I2" t="s">
        <v>26</v>
      </c>
    </row>
    <row r="4" spans="1:15" x14ac:dyDescent="0.3">
      <c r="B4" t="s">
        <v>2</v>
      </c>
      <c r="C4" t="s">
        <v>17</v>
      </c>
      <c r="D4" t="s">
        <v>18</v>
      </c>
      <c r="E4" s="2" t="s">
        <v>21</v>
      </c>
      <c r="F4" s="4" t="s">
        <v>22</v>
      </c>
      <c r="G4" s="6" t="s">
        <v>23</v>
      </c>
      <c r="J4" t="s">
        <v>2</v>
      </c>
      <c r="K4" t="s">
        <v>17</v>
      </c>
      <c r="L4" t="s">
        <v>18</v>
      </c>
      <c r="M4" s="8" t="s">
        <v>21</v>
      </c>
      <c r="N4" s="4" t="s">
        <v>22</v>
      </c>
      <c r="O4" s="6" t="s">
        <v>23</v>
      </c>
    </row>
    <row r="5" spans="1:15" x14ac:dyDescent="0.3">
      <c r="A5" t="s">
        <v>3</v>
      </c>
      <c r="B5" s="1">
        <v>0.5</v>
      </c>
      <c r="C5" s="1">
        <v>0.4</v>
      </c>
      <c r="D5" s="1">
        <v>1.4</v>
      </c>
      <c r="E5" s="3">
        <f>3*B$5</f>
        <v>1.5</v>
      </c>
      <c r="F5" s="5">
        <f>3*C$5</f>
        <v>1.2000000000000002</v>
      </c>
      <c r="G5" s="7">
        <f>3*D$5</f>
        <v>4.1999999999999993</v>
      </c>
      <c r="I5" t="s">
        <v>3</v>
      </c>
      <c r="J5" s="1">
        <v>0.5</v>
      </c>
      <c r="K5" s="1">
        <v>0.4</v>
      </c>
      <c r="L5" s="1">
        <v>1.4</v>
      </c>
      <c r="M5" s="9">
        <f>5*J$5</f>
        <v>2.5</v>
      </c>
      <c r="N5" s="5">
        <f t="shared" ref="N5:O5" si="0">5*K$5</f>
        <v>2</v>
      </c>
      <c r="O5" s="7">
        <f t="shared" si="0"/>
        <v>7</v>
      </c>
    </row>
    <row r="6" spans="1:15" x14ac:dyDescent="0.3">
      <c r="A6" t="s">
        <v>4</v>
      </c>
      <c r="B6" s="1">
        <v>28</v>
      </c>
      <c r="C6" s="1">
        <v>33</v>
      </c>
      <c r="D6" s="1">
        <v>31</v>
      </c>
      <c r="E6" s="3">
        <f>1*B$6</f>
        <v>28</v>
      </c>
      <c r="F6" s="5">
        <f t="shared" ref="F6:G6" si="1">1*C$6</f>
        <v>33</v>
      </c>
      <c r="G6" s="7">
        <f t="shared" si="1"/>
        <v>31</v>
      </c>
      <c r="I6" t="s">
        <v>4</v>
      </c>
      <c r="J6" s="1">
        <v>28</v>
      </c>
      <c r="K6" s="1">
        <v>33</v>
      </c>
      <c r="L6" s="1">
        <v>31</v>
      </c>
      <c r="M6" s="9">
        <f>1*J$6</f>
        <v>28</v>
      </c>
      <c r="N6" s="5">
        <f t="shared" ref="N6:O6" si="2">1*K$6</f>
        <v>33</v>
      </c>
      <c r="O6" s="7">
        <f t="shared" si="2"/>
        <v>31</v>
      </c>
    </row>
    <row r="7" spans="1:15" x14ac:dyDescent="0.3">
      <c r="A7" t="s">
        <v>5</v>
      </c>
      <c r="B7" s="1">
        <v>1.8</v>
      </c>
      <c r="C7" s="1">
        <v>1</v>
      </c>
      <c r="D7" s="1">
        <v>2</v>
      </c>
      <c r="E7" s="3">
        <f>2*B$7</f>
        <v>3.6</v>
      </c>
      <c r="F7" s="5">
        <f t="shared" ref="F7:G7" si="3">2*C$7</f>
        <v>2</v>
      </c>
      <c r="G7" s="7">
        <f t="shared" si="3"/>
        <v>4</v>
      </c>
      <c r="I7" t="s">
        <v>5</v>
      </c>
      <c r="J7" s="1">
        <v>1.8</v>
      </c>
      <c r="K7" s="1">
        <v>1</v>
      </c>
      <c r="L7" s="1">
        <v>2</v>
      </c>
      <c r="M7" s="9">
        <f>4*J$7</f>
        <v>7.2</v>
      </c>
      <c r="N7" s="5">
        <f t="shared" ref="N7:O7" si="4">4*K$7</f>
        <v>4</v>
      </c>
      <c r="O7" s="7">
        <f t="shared" si="4"/>
        <v>8</v>
      </c>
    </row>
    <row r="8" spans="1:15" x14ac:dyDescent="0.3">
      <c r="A8" t="s">
        <v>6</v>
      </c>
      <c r="B8" s="1">
        <v>1.2</v>
      </c>
      <c r="C8" s="1">
        <v>0.8</v>
      </c>
      <c r="D8" s="1">
        <v>1.5</v>
      </c>
      <c r="E8" s="3">
        <f>1*B$8</f>
        <v>1.2</v>
      </c>
      <c r="F8" s="5">
        <f t="shared" ref="F8:G8" si="5">1*C$8</f>
        <v>0.8</v>
      </c>
      <c r="G8" s="7">
        <f t="shared" si="5"/>
        <v>1.5</v>
      </c>
      <c r="I8" t="s">
        <v>6</v>
      </c>
      <c r="J8" s="1">
        <v>1.2</v>
      </c>
      <c r="K8" s="1">
        <v>0.8</v>
      </c>
      <c r="L8" s="1">
        <v>1.5</v>
      </c>
      <c r="M8" s="9">
        <f>2*J$8</f>
        <v>2.4</v>
      </c>
      <c r="N8" s="5">
        <f t="shared" ref="N8:O8" si="6">2*K$8</f>
        <v>1.6</v>
      </c>
      <c r="O8" s="7">
        <f t="shared" si="6"/>
        <v>3</v>
      </c>
    </row>
    <row r="9" spans="1:15" x14ac:dyDescent="0.3">
      <c r="A9" t="s">
        <v>7</v>
      </c>
      <c r="B9" s="1">
        <v>2.4</v>
      </c>
      <c r="C9" s="1">
        <v>1.4</v>
      </c>
      <c r="D9" s="1">
        <v>2.4</v>
      </c>
      <c r="E9" s="3">
        <f>2*B$9</f>
        <v>4.8</v>
      </c>
      <c r="F9" s="5">
        <f t="shared" ref="F9:G9" si="7">2*C$9</f>
        <v>2.8</v>
      </c>
      <c r="G9" s="7">
        <f t="shared" si="7"/>
        <v>4.8</v>
      </c>
      <c r="I9" t="s">
        <v>7</v>
      </c>
      <c r="J9" s="1">
        <v>2.4</v>
      </c>
      <c r="K9" s="1">
        <v>1.4</v>
      </c>
      <c r="L9" s="1">
        <v>2.4</v>
      </c>
      <c r="M9" s="9">
        <f>2*J$9</f>
        <v>4.8</v>
      </c>
      <c r="N9" s="5">
        <f t="shared" ref="N9:O9" si="8">2*K$9</f>
        <v>2.8</v>
      </c>
      <c r="O9" s="7">
        <f t="shared" si="8"/>
        <v>4.8</v>
      </c>
    </row>
    <row r="10" spans="1:15" x14ac:dyDescent="0.3">
      <c r="A10" t="s">
        <v>8</v>
      </c>
      <c r="B10" s="1">
        <v>0.9</v>
      </c>
      <c r="C10" s="1">
        <v>0.2</v>
      </c>
      <c r="D10" s="1">
        <v>0.8</v>
      </c>
      <c r="E10" s="3">
        <f>2*B$10</f>
        <v>1.8</v>
      </c>
      <c r="F10" s="5">
        <f t="shared" ref="F10:G10" si="9">2*C$10</f>
        <v>0.4</v>
      </c>
      <c r="G10" s="7">
        <f t="shared" si="9"/>
        <v>1.6</v>
      </c>
      <c r="I10" t="s">
        <v>8</v>
      </c>
      <c r="J10" s="1">
        <v>0.9</v>
      </c>
      <c r="K10" s="1">
        <v>0.2</v>
      </c>
      <c r="L10" s="1">
        <v>0.8</v>
      </c>
      <c r="M10" s="9">
        <f>2*J$10</f>
        <v>1.8</v>
      </c>
      <c r="N10" s="5">
        <f t="shared" ref="N10:O10" si="10">2*K$10</f>
        <v>0.4</v>
      </c>
      <c r="O10" s="7">
        <f t="shared" si="10"/>
        <v>1.6</v>
      </c>
    </row>
    <row r="11" spans="1:15" x14ac:dyDescent="0.3">
      <c r="A11" t="s">
        <v>10</v>
      </c>
      <c r="B11" s="1">
        <v>0.99</v>
      </c>
      <c r="C11" s="1">
        <v>0.59</v>
      </c>
      <c r="D11" s="1">
        <v>2.59</v>
      </c>
      <c r="E11" s="3">
        <f>2*B$11</f>
        <v>1.98</v>
      </c>
      <c r="F11" s="5">
        <f t="shared" ref="F11:G11" si="11">2*C$11</f>
        <v>1.18</v>
      </c>
      <c r="G11" s="7">
        <f t="shared" si="11"/>
        <v>5.18</v>
      </c>
      <c r="I11" t="s">
        <v>10</v>
      </c>
      <c r="J11" s="1">
        <v>0.99</v>
      </c>
      <c r="K11" s="1">
        <v>0.59</v>
      </c>
      <c r="L11" s="1">
        <v>2.59</v>
      </c>
      <c r="M11" s="9">
        <f>10*J$11</f>
        <v>9.9</v>
      </c>
      <c r="N11" s="5">
        <f t="shared" ref="N11:O11" si="12">10*K$11</f>
        <v>5.8999999999999995</v>
      </c>
      <c r="O11" s="7">
        <f t="shared" si="12"/>
        <v>25.9</v>
      </c>
    </row>
    <row r="12" spans="1:15" x14ac:dyDescent="0.3">
      <c r="A12" t="s">
        <v>9</v>
      </c>
      <c r="B12" s="1">
        <v>1.25</v>
      </c>
      <c r="C12" s="1">
        <v>3.25</v>
      </c>
      <c r="D12" s="1">
        <v>2.15</v>
      </c>
      <c r="E12" s="3">
        <f>42*B$12</f>
        <v>52.5</v>
      </c>
      <c r="F12" s="5">
        <f t="shared" ref="F12:G12" si="13">42*C$12</f>
        <v>136.5</v>
      </c>
      <c r="G12" s="7">
        <f t="shared" si="13"/>
        <v>90.3</v>
      </c>
      <c r="I12" t="s">
        <v>9</v>
      </c>
      <c r="J12" s="1">
        <v>1.25</v>
      </c>
      <c r="K12" s="1">
        <v>3.25</v>
      </c>
      <c r="L12" s="1">
        <v>2.15</v>
      </c>
      <c r="M12" s="9">
        <f>12*J$12</f>
        <v>15</v>
      </c>
      <c r="N12" s="5">
        <f t="shared" ref="N12:O12" si="14">12*K$12</f>
        <v>39</v>
      </c>
      <c r="O12" s="7">
        <f t="shared" si="14"/>
        <v>25.799999999999997</v>
      </c>
    </row>
    <row r="13" spans="1:15" x14ac:dyDescent="0.3">
      <c r="A13" t="s">
        <v>11</v>
      </c>
      <c r="B13" s="1">
        <v>9.5</v>
      </c>
      <c r="C13" s="1">
        <v>14</v>
      </c>
      <c r="D13" s="1">
        <v>13</v>
      </c>
      <c r="E13" s="3">
        <f>2*B$13</f>
        <v>19</v>
      </c>
      <c r="F13" s="5">
        <f t="shared" ref="F13:G13" si="15">2*C$13</f>
        <v>28</v>
      </c>
      <c r="G13" s="7">
        <f t="shared" si="15"/>
        <v>26</v>
      </c>
      <c r="I13" t="s">
        <v>11</v>
      </c>
      <c r="J13" s="1">
        <v>9.5</v>
      </c>
      <c r="K13" s="1">
        <v>14</v>
      </c>
      <c r="L13" s="1">
        <v>13</v>
      </c>
      <c r="M13" s="9">
        <f>1*B$12</f>
        <v>1.25</v>
      </c>
      <c r="N13" s="5">
        <f t="shared" ref="N13:O13" si="16">1*C$12</f>
        <v>3.25</v>
      </c>
      <c r="O13" s="7">
        <f t="shared" si="16"/>
        <v>2.15</v>
      </c>
    </row>
    <row r="14" spans="1:15" x14ac:dyDescent="0.3">
      <c r="A14" t="s">
        <v>12</v>
      </c>
      <c r="B14" s="1">
        <v>4.55</v>
      </c>
      <c r="C14" s="1">
        <v>2.5499999999999998</v>
      </c>
      <c r="D14" s="1">
        <v>6</v>
      </c>
      <c r="E14" s="3">
        <f>2*B$14</f>
        <v>9.1</v>
      </c>
      <c r="F14" s="5">
        <f t="shared" ref="F14:G14" si="17">2*C$14</f>
        <v>5.0999999999999996</v>
      </c>
      <c r="G14" s="7">
        <f t="shared" si="17"/>
        <v>12</v>
      </c>
      <c r="I14" t="s">
        <v>12</v>
      </c>
      <c r="J14" s="1">
        <v>4.55</v>
      </c>
      <c r="K14" s="1">
        <v>2.5499999999999998</v>
      </c>
      <c r="L14" s="1">
        <v>6</v>
      </c>
      <c r="M14" s="9">
        <f>1*J$14</f>
        <v>4.55</v>
      </c>
      <c r="N14" s="5">
        <f t="shared" ref="N14:O14" si="18">1*K$14</f>
        <v>2.5499999999999998</v>
      </c>
      <c r="O14" s="7">
        <f t="shared" si="18"/>
        <v>6</v>
      </c>
    </row>
    <row r="15" spans="1:15" x14ac:dyDescent="0.3">
      <c r="A15" t="s">
        <v>13</v>
      </c>
      <c r="B15" s="1">
        <v>4.2</v>
      </c>
      <c r="C15" s="1">
        <v>2.2000000000000002</v>
      </c>
      <c r="D15" s="1">
        <v>3</v>
      </c>
      <c r="E15" s="3">
        <f>1*B$15</f>
        <v>4.2</v>
      </c>
      <c r="F15" s="5">
        <f t="shared" ref="F15:G15" si="19">1*C$15</f>
        <v>2.2000000000000002</v>
      </c>
      <c r="G15" s="7">
        <f t="shared" si="19"/>
        <v>3</v>
      </c>
      <c r="I15" t="s">
        <v>13</v>
      </c>
      <c r="J15" s="1">
        <v>4.2</v>
      </c>
      <c r="K15" s="1">
        <v>2.2000000000000002</v>
      </c>
      <c r="L15" s="1">
        <v>3</v>
      </c>
      <c r="M15" s="8" t="s">
        <v>27</v>
      </c>
      <c r="N15" s="4" t="s">
        <v>27</v>
      </c>
      <c r="O15" s="6" t="s">
        <v>27</v>
      </c>
    </row>
    <row r="16" spans="1:15" x14ac:dyDescent="0.3">
      <c r="A16" t="s">
        <v>20</v>
      </c>
      <c r="B16" s="1">
        <v>3.9</v>
      </c>
      <c r="C16" s="1">
        <v>5</v>
      </c>
      <c r="D16" s="1">
        <v>8</v>
      </c>
      <c r="E16" s="3">
        <f>2*B$16</f>
        <v>7.8</v>
      </c>
      <c r="F16" s="5">
        <f t="shared" ref="F16:G16" si="20">2*C$16</f>
        <v>10</v>
      </c>
      <c r="G16" s="7">
        <f t="shared" si="20"/>
        <v>16</v>
      </c>
      <c r="I16" t="s">
        <v>20</v>
      </c>
      <c r="J16" s="1">
        <v>3.9</v>
      </c>
      <c r="K16" s="1">
        <v>5</v>
      </c>
      <c r="L16" s="1">
        <v>8</v>
      </c>
      <c r="M16" s="8" t="s">
        <v>27</v>
      </c>
      <c r="N16" s="4"/>
      <c r="O16" s="6" t="s">
        <v>27</v>
      </c>
    </row>
    <row r="17" spans="1:15" x14ac:dyDescent="0.3">
      <c r="A17" t="s">
        <v>14</v>
      </c>
      <c r="B17" s="1">
        <v>1</v>
      </c>
      <c r="C17" s="1">
        <v>2</v>
      </c>
      <c r="D17" s="1">
        <v>1</v>
      </c>
      <c r="E17" s="3">
        <f>2*B$17</f>
        <v>2</v>
      </c>
      <c r="F17" s="5">
        <f t="shared" ref="F17:G17" si="21">2*C$17</f>
        <v>4</v>
      </c>
      <c r="G17" s="7">
        <f t="shared" si="21"/>
        <v>2</v>
      </c>
      <c r="I17" t="s">
        <v>14</v>
      </c>
      <c r="J17" s="1">
        <v>1</v>
      </c>
      <c r="K17" s="1">
        <v>2</v>
      </c>
      <c r="L17" s="1">
        <v>1</v>
      </c>
      <c r="M17" s="8" t="s">
        <v>27</v>
      </c>
      <c r="N17" s="4"/>
      <c r="O17" s="6" t="s">
        <v>27</v>
      </c>
    </row>
    <row r="18" spans="1:15" x14ac:dyDescent="0.3">
      <c r="A18" t="s">
        <v>15</v>
      </c>
      <c r="B18" s="1">
        <v>1.75</v>
      </c>
      <c r="C18" s="1">
        <v>2</v>
      </c>
      <c r="D18" s="1">
        <v>1</v>
      </c>
      <c r="E18" s="3">
        <f>2*B$18</f>
        <v>3.5</v>
      </c>
      <c r="F18" s="5">
        <f t="shared" ref="F18:G18" si="22">2*C$18</f>
        <v>4</v>
      </c>
      <c r="G18" s="7">
        <f t="shared" si="22"/>
        <v>2</v>
      </c>
      <c r="I18" t="s">
        <v>15</v>
      </c>
      <c r="J18" s="1">
        <v>1.75</v>
      </c>
      <c r="K18" s="1">
        <v>2</v>
      </c>
      <c r="L18" s="1">
        <v>1</v>
      </c>
      <c r="M18" s="8" t="s">
        <v>27</v>
      </c>
      <c r="N18" s="4" t="s">
        <v>27</v>
      </c>
      <c r="O18" s="6" t="s">
        <v>27</v>
      </c>
    </row>
    <row r="19" spans="1:15" x14ac:dyDescent="0.3">
      <c r="A19" t="s">
        <v>16</v>
      </c>
      <c r="B19" s="1">
        <v>2</v>
      </c>
      <c r="C19" s="1">
        <v>1</v>
      </c>
      <c r="D19" s="1">
        <v>3</v>
      </c>
      <c r="E19" s="3">
        <f>2*B$19</f>
        <v>4</v>
      </c>
      <c r="F19" s="5">
        <f t="shared" ref="F19:G19" si="23">2*C$19</f>
        <v>2</v>
      </c>
      <c r="G19" s="7">
        <f t="shared" si="23"/>
        <v>6</v>
      </c>
      <c r="I19" t="s">
        <v>16</v>
      </c>
      <c r="J19" s="1">
        <v>2</v>
      </c>
      <c r="K19" s="1">
        <v>1</v>
      </c>
      <c r="L19" s="1">
        <v>3</v>
      </c>
      <c r="M19" s="9">
        <f>2*J$19</f>
        <v>4</v>
      </c>
      <c r="N19" s="5">
        <f t="shared" ref="N19:O19" si="24">2*K$19</f>
        <v>2</v>
      </c>
      <c r="O19" s="7">
        <f t="shared" si="24"/>
        <v>6</v>
      </c>
    </row>
    <row r="21" spans="1:15" x14ac:dyDescent="0.3">
      <c r="A21" t="s">
        <v>24</v>
      </c>
      <c r="E21" s="1"/>
      <c r="I21" t="s">
        <v>24</v>
      </c>
    </row>
    <row r="22" spans="1:15" x14ac:dyDescent="0.3">
      <c r="A22" t="s">
        <v>25</v>
      </c>
      <c r="E22" s="1">
        <f>SUM(E$5:J$19)</f>
        <v>651.68000000000018</v>
      </c>
      <c r="F22" s="1">
        <f t="shared" ref="F22:O22" si="25">SUM(F$5:F$19)</f>
        <v>233.17999999999998</v>
      </c>
      <c r="G22" s="1">
        <f t="shared" si="25"/>
        <v>209.57999999999998</v>
      </c>
      <c r="I22" t="s">
        <v>19</v>
      </c>
      <c r="M22" s="1">
        <f>SUM(M5:M19)</f>
        <v>81.399999999999991</v>
      </c>
      <c r="N22" s="1">
        <f>SUM(N5:N19)</f>
        <v>96.499999999999986</v>
      </c>
      <c r="O22" s="1">
        <f>SUM(O5:O19)</f>
        <v>121.25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2026-01-23T16:34:51Z</dcterms:created>
  <dcterms:modified xsi:type="dcterms:W3CDTF">2026-01-23T17:58:18Z</dcterms:modified>
</cp:coreProperties>
</file>