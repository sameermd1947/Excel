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"/>
    </mc:Choice>
  </mc:AlternateContent>
  <xr:revisionPtr revIDLastSave="0" documentId="14_{CC2641FA-969F-4031-B626-6DE15833D5F9}" xr6:coauthVersionLast="47" xr6:coauthVersionMax="47" xr10:uidLastSave="{00000000-0000-0000-0000-000000000000}"/>
  <bookViews>
    <workbookView xWindow="-108" yWindow="-108" windowWidth="23256" windowHeight="12456" activeTab="1" xr2:uid="{850608B4-F8C5-4788-96AE-C8C8EAFA38E7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Sheet1!$A$1:$K$21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G16" i="1"/>
  <c r="H16" i="1" s="1"/>
  <c r="G18" i="1"/>
  <c r="H18" i="1" s="1"/>
  <c r="G15" i="1"/>
  <c r="H15" i="1" s="1"/>
  <c r="G9" i="1"/>
  <c r="H9" i="1" s="1"/>
  <c r="G19" i="1"/>
  <c r="H19" i="1" s="1"/>
  <c r="G6" i="1"/>
  <c r="H6" i="1" s="1"/>
  <c r="G11" i="1"/>
  <c r="H11" i="1" s="1"/>
  <c r="G4" i="1"/>
  <c r="H4" i="1" s="1"/>
  <c r="G13" i="1"/>
  <c r="H13" i="1" s="1"/>
  <c r="G21" i="1"/>
  <c r="H21" i="1" s="1"/>
  <c r="G7" i="1"/>
  <c r="H7" i="1" s="1"/>
  <c r="G2" i="1"/>
  <c r="H2" i="1" s="1"/>
  <c r="G20" i="1"/>
  <c r="H20" i="1" s="1"/>
  <c r="G12" i="1"/>
  <c r="H12" i="1" s="1"/>
  <c r="G5" i="1"/>
  <c r="H5" i="1" s="1"/>
  <c r="G17" i="1"/>
  <c r="H17" i="1" s="1"/>
  <c r="G14" i="1"/>
  <c r="H14" i="1" s="1"/>
  <c r="G8" i="1"/>
  <c r="H8" i="1" s="1"/>
  <c r="G10" i="1"/>
  <c r="H10" i="1" s="1"/>
  <c r="G3" i="1"/>
  <c r="H3" i="1" s="1"/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<sst xmlns="http://schemas.openxmlformats.org/spreadsheetml/2006/main" count="136" uniqueCount="68">
  <si>
    <t>Month</t>
  </si>
  <si>
    <t>Jan</t>
  </si>
  <si>
    <t>Feb</t>
  </si>
  <si>
    <t>Transaction Number</t>
  </si>
  <si>
    <t>Product Code</t>
  </si>
  <si>
    <t>Product Description</t>
  </si>
  <si>
    <t>Store Cost</t>
  </si>
  <si>
    <t>Sale Price</t>
  </si>
  <si>
    <t>Commision 10% for items less than $50. 20% for items more than $50</t>
  </si>
  <si>
    <t>Sale Location</t>
  </si>
  <si>
    <t>Frist Name</t>
  </si>
  <si>
    <t>Last Name</t>
  </si>
  <si>
    <t>Leo</t>
  </si>
  <si>
    <t>Mia</t>
  </si>
  <si>
    <t>Ava</t>
  </si>
  <si>
    <t>Max</t>
  </si>
  <si>
    <t>Eli</t>
  </si>
  <si>
    <t>Zoe</t>
  </si>
  <si>
    <t>Noah</t>
  </si>
  <si>
    <t>Ivy</t>
  </si>
  <si>
    <t>Ben</t>
  </si>
  <si>
    <t>Luna</t>
  </si>
  <si>
    <t>Sam</t>
  </si>
  <si>
    <t>Kai</t>
  </si>
  <si>
    <t>Nia</t>
  </si>
  <si>
    <t>Theo</t>
  </si>
  <si>
    <t>Joy</t>
  </si>
  <si>
    <t>Finn</t>
  </si>
  <si>
    <t>Ada</t>
  </si>
  <si>
    <t>NM</t>
  </si>
  <si>
    <t>CA</t>
  </si>
  <si>
    <t>AZ</t>
  </si>
  <si>
    <t>CO</t>
  </si>
  <si>
    <t>Profit</t>
  </si>
  <si>
    <t>Pool Cover</t>
  </si>
  <si>
    <t>Net</t>
  </si>
  <si>
    <t>8ft House</t>
  </si>
  <si>
    <t>Water Pump</t>
  </si>
  <si>
    <t>Chlorine Test Kit</t>
  </si>
  <si>
    <t>Chlorine Test kit</t>
  </si>
  <si>
    <t>Skimmer</t>
  </si>
  <si>
    <t>1 Gal Muratic Acid</t>
  </si>
  <si>
    <t>AutoVac</t>
  </si>
  <si>
    <t>Aria</t>
  </si>
  <si>
    <t>Liam</t>
  </si>
  <si>
    <t>Nora</t>
  </si>
  <si>
    <t>Jack</t>
  </si>
  <si>
    <t>Mila</t>
  </si>
  <si>
    <t>Owen</t>
  </si>
  <si>
    <t>Ella</t>
  </si>
  <si>
    <t>Luke</t>
  </si>
  <si>
    <t>Ruby</t>
  </si>
  <si>
    <t>Alex</t>
  </si>
  <si>
    <t>Isla</t>
  </si>
  <si>
    <t>Ryan</t>
  </si>
  <si>
    <t>Maya</t>
  </si>
  <si>
    <t>Cole</t>
  </si>
  <si>
    <t>Lina</t>
  </si>
  <si>
    <t>Evan</t>
  </si>
  <si>
    <t>Rose</t>
  </si>
  <si>
    <t>Sum of all items</t>
  </si>
  <si>
    <t>Sum  of items valued at more than 500</t>
  </si>
  <si>
    <t>Sum of items valued at $50 0r less</t>
  </si>
  <si>
    <t>Sum of Profit</t>
  </si>
  <si>
    <t>Row Labels</t>
  </si>
  <si>
    <t>(blank)</t>
  </si>
  <si>
    <t>Grand Total</t>
  </si>
  <si>
    <t>Mr. 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</si>
</sst>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3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[Book4.xlsx]Sheet3!PivotTable2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Sheet3!$A$4:$A$22</c:f>
              <c:strCache>
                <c:ptCount val="18"/>
                <c:pt idx="0">
                  <c:v>Ada</c:v>
                </c:pt>
                <c:pt idx="1">
                  <c:v>Ava</c:v>
                </c:pt>
                <c:pt idx="2">
                  <c:v>Ben</c:v>
                </c:pt>
                <c:pt idx="3">
                  <c:v>Eli</c:v>
                </c:pt>
                <c:pt idx="4">
                  <c:v>Finn</c:v>
                </c:pt>
                <c:pt idx="5">
                  <c:v>Ivy</c:v>
                </c:pt>
                <c:pt idx="6">
                  <c:v>Joy</c:v>
                </c:pt>
                <c:pt idx="7">
                  <c:v>Kai</c:v>
                </c:pt>
                <c:pt idx="8">
                  <c:v>Leo</c:v>
                </c:pt>
                <c:pt idx="9">
                  <c:v>Luna</c:v>
                </c:pt>
                <c:pt idx="10">
                  <c:v>Max</c:v>
                </c:pt>
                <c:pt idx="11">
                  <c:v>Mia</c:v>
                </c:pt>
                <c:pt idx="12">
                  <c:v>Nia</c:v>
                </c:pt>
                <c:pt idx="13">
                  <c:v>Noah</c:v>
                </c:pt>
                <c:pt idx="14">
                  <c:v>Sam</c:v>
                </c:pt>
                <c:pt idx="15">
                  <c:v>Theo</c:v>
                </c:pt>
                <c:pt idx="16">
                  <c:v>Zoe</c:v>
                </c:pt>
                <c:pt idx="17">
                  <c:v>(blank)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108.1</c:v>
                </c:pt>
                <c:pt idx="1">
                  <c:v>470</c:v>
                </c:pt>
                <c:pt idx="2">
                  <c:v>-5.9</c:v>
                </c:pt>
                <c:pt idx="3">
                  <c:v>1.0999999999999996</c:v>
                </c:pt>
                <c:pt idx="4">
                  <c:v>-20.8</c:v>
                </c:pt>
                <c:pt idx="5">
                  <c:v>-1.1999999999999993</c:v>
                </c:pt>
                <c:pt idx="6">
                  <c:v>-28.7</c:v>
                </c:pt>
                <c:pt idx="7">
                  <c:v>78</c:v>
                </c:pt>
                <c:pt idx="8">
                  <c:v>80.5</c:v>
                </c:pt>
                <c:pt idx="9">
                  <c:v>5.1000000000000014</c:v>
                </c:pt>
                <c:pt idx="10">
                  <c:v>482.9</c:v>
                </c:pt>
                <c:pt idx="11">
                  <c:v>0.5</c:v>
                </c:pt>
                <c:pt idx="12">
                  <c:v>-1.4399999999999995</c:v>
                </c:pt>
                <c:pt idx="13">
                  <c:v>-10</c:v>
                </c:pt>
                <c:pt idx="14">
                  <c:v>6.2000000000000011</c:v>
                </c:pt>
                <c:pt idx="15">
                  <c:v>487.8</c:v>
                </c:pt>
                <c:pt idx="16">
                  <c:v>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8-4D20-9BDD-0DB8260A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41910</xdr:rowOff>
    </xdr:from>
    <xdr:to>
      <xdr:col>11</xdr:col>
      <xdr:colOff>571500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118DF3-2CDB-FAEE-4FCD-BAFB6EE94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Sameer" refreshedDate="46039.509338888885" createdVersion="8" refreshedVersion="8" minRefreshableVersion="3" recordCount="21" xr:uid="{A0B65B2C-DED9-42E1-B152-B01C38B6E843}">
  <cacheSource type="worksheet">
    <worksheetSource ref="A1:K22" sheet="Sheet1"/>
  </cacheSource>
  <cacheFields count="11">
    <cacheField name="Month" numFmtId="0">
      <sharedItems containsBlank="1"/>
    </cacheField>
    <cacheField name="Transaction Number" numFmtId="0">
      <sharedItems containsString="0" containsBlank="1" containsNumber="1" containsInteger="1" minValue="1001" maxValue="1020"/>
    </cacheField>
    <cacheField name="Product Code" numFmtId="0">
      <sharedItems containsString="0" containsBlank="1" containsNumber="1" containsInteger="1" minValue="1109" maxValue="9822"/>
    </cacheField>
    <cacheField name="Product Description" numFmtId="0">
      <sharedItems containsBlank="1"/>
    </cacheField>
    <cacheField name="Store Cost" numFmtId="0">
      <sharedItems containsString="0" containsBlank="1" containsNumber="1" minValue="6.9" maxValue="45"/>
    </cacheField>
    <cacheField name="Sale Price" numFmtId="0">
      <sharedItems containsString="0" containsBlank="1" containsNumber="1" minValue="7" maxValue="502"/>
    </cacheField>
    <cacheField name="Profit" numFmtId="0">
      <sharedItems containsString="0" containsBlank="1" containsNumber="1" minValue="-28.7" maxValue="487.8"/>
    </cacheField>
    <cacheField name="Commision 10% for items less than $50. 20% for items more than $50" numFmtId="0">
      <sharedItems containsString="0" containsBlank="1" containsNumber="1" minValue="-2.87" maxValue="97.56"/>
    </cacheField>
    <cacheField name="Frist Name" numFmtId="0">
      <sharedItems containsBlank="1" count="18">
        <s v="Luna"/>
        <s v="Leo"/>
        <s v="Theo"/>
        <s v="Noah"/>
        <s v="Finn"/>
        <s v="Sam"/>
        <s v="Max"/>
        <s v="Mia"/>
        <s v="Joy"/>
        <s v="Ivy"/>
        <s v="Nia"/>
        <s v="Eli"/>
        <s v="Ava"/>
        <s v="Zoe"/>
        <s v="Ada"/>
        <s v="Ben"/>
        <s v="Kai"/>
        <m/>
      </sharedItems>
    </cacheField>
    <cacheField name="Last Name" numFmtId="0">
      <sharedItems containsBlank="1"/>
    </cacheField>
    <cacheField name="Sale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Jan"/>
    <n v="1020"/>
    <n v="4421"/>
    <s v="Net"/>
    <n v="11.2"/>
    <n v="16.3"/>
    <n v="5.1000000000000014"/>
    <n v="0.51000000000000012"/>
    <x v="0"/>
    <s v="Alex"/>
    <s v="CO"/>
  </r>
  <r>
    <s v="Jan"/>
    <n v="1001"/>
    <n v="9822"/>
    <s v="Pool Cover"/>
    <n v="15.9"/>
    <n v="98.4"/>
    <n v="82.5"/>
    <n v="16.5"/>
    <x v="1"/>
    <s v="Aria"/>
    <s v="NM"/>
  </r>
  <r>
    <s v="Jan"/>
    <n v="1002"/>
    <n v="2499"/>
    <s v="Net"/>
    <n v="14.2"/>
    <n v="502"/>
    <n v="487.8"/>
    <n v="97.56"/>
    <x v="2"/>
    <s v="Cole"/>
    <s v="CA"/>
  </r>
  <r>
    <s v="Jan"/>
    <n v="1003"/>
    <n v="1109"/>
    <s v="Chlorine Test kit"/>
    <n v="18"/>
    <n v="8"/>
    <n v="-10"/>
    <n v="-1"/>
    <x v="3"/>
    <s v="Ella"/>
    <s v="AZ"/>
  </r>
  <r>
    <s v="Jan"/>
    <n v="1004"/>
    <n v="1109"/>
    <s v="AutoVac"/>
    <n v="30"/>
    <n v="9.1999999999999993"/>
    <n v="-20.8"/>
    <n v="-2.08"/>
    <x v="4"/>
    <s v="Evan"/>
    <s v="CA"/>
  </r>
  <r>
    <s v="Jan"/>
    <n v="1005"/>
    <n v="9212"/>
    <s v="Net"/>
    <n v="10.1"/>
    <n v="16.3"/>
    <n v="6.2000000000000011"/>
    <n v="0.62000000000000011"/>
    <x v="5"/>
    <s v="Isla"/>
    <s v="AZ"/>
  </r>
  <r>
    <s v="Jan"/>
    <n v="1006"/>
    <n v="8722"/>
    <s v="Water Pump"/>
    <n v="19.100000000000001"/>
    <n v="502"/>
    <n v="482.9"/>
    <n v="96.58"/>
    <x v="6"/>
    <s v="Jack"/>
    <s v="AZ"/>
  </r>
  <r>
    <s v="Feb"/>
    <n v="1007"/>
    <n v="8794"/>
    <s v="8ft House"/>
    <n v="10"/>
    <n v="8"/>
    <n v="-2"/>
    <n v="-0.2"/>
    <x v="1"/>
    <s v="Jack"/>
    <s v="CA"/>
  </r>
  <r>
    <s v="Jan"/>
    <n v="1008"/>
    <n v="2877"/>
    <s v="Net"/>
    <n v="10"/>
    <n v="16.3"/>
    <n v="6.3000000000000007"/>
    <n v="0.63000000000000012"/>
    <x v="7"/>
    <s v="Liam"/>
    <s v="CA"/>
  </r>
  <r>
    <s v="Jan"/>
    <n v="1009"/>
    <n v="2242"/>
    <s v="8ft House"/>
    <n v="45"/>
    <n v="16.3"/>
    <n v="-28.7"/>
    <n v="-2.87"/>
    <x v="8"/>
    <s v="Lina"/>
    <s v="AZ"/>
  </r>
  <r>
    <s v="Jan"/>
    <n v="1010"/>
    <n v="2877"/>
    <s v="Net"/>
    <n v="17.5"/>
    <n v="16.3"/>
    <n v="-1.1999999999999993"/>
    <n v="-0.11999999999999994"/>
    <x v="9"/>
    <s v="Luke"/>
    <s v="NM"/>
  </r>
  <r>
    <s v="Jan"/>
    <n v="1011"/>
    <n v="2877"/>
    <s v="1 Gal Muratic Acid"/>
    <n v="8.44"/>
    <n v="7"/>
    <n v="-1.4399999999999995"/>
    <n v="-0.14399999999999996"/>
    <x v="10"/>
    <s v="Maya"/>
    <s v="CO"/>
  </r>
  <r>
    <s v="Jan"/>
    <n v="1012"/>
    <n v="1109"/>
    <s v="Chlorine Test kit"/>
    <n v="6.9"/>
    <n v="8"/>
    <n v="1.0999999999999996"/>
    <n v="0.10999999999999997"/>
    <x v="11"/>
    <s v="Mila"/>
    <s v="AZ"/>
  </r>
  <r>
    <s v="Feb"/>
    <n v="1013"/>
    <n v="4587"/>
    <s v="8ft House"/>
    <n v="22.1"/>
    <n v="16.3"/>
    <n v="-5.8000000000000007"/>
    <n v="-0.58000000000000007"/>
    <x v="7"/>
    <s v="Mila"/>
    <s v="CO"/>
  </r>
  <r>
    <s v="Jan"/>
    <n v="1014"/>
    <n v="2499"/>
    <s v="8ft House"/>
    <n v="22.1"/>
    <n v="9.1999999999999993"/>
    <n v="-12.900000000000002"/>
    <n v="-1.2900000000000003"/>
    <x v="12"/>
    <s v="Nora"/>
    <s v="AZ"/>
  </r>
  <r>
    <s v="Jan"/>
    <n v="1015"/>
    <n v="9822"/>
    <s v="Pool Cover"/>
    <n v="14.2"/>
    <n v="98.4"/>
    <n v="84.2"/>
    <n v="16.84"/>
    <x v="13"/>
    <s v="Owen"/>
    <s v="AZ"/>
  </r>
  <r>
    <s v="Feb"/>
    <n v="1016"/>
    <n v="3356"/>
    <s v="Net"/>
    <n v="19.100000000000001"/>
    <n v="502"/>
    <n v="482.9"/>
    <n v="96.58"/>
    <x v="12"/>
    <s v="Owen"/>
    <s v="AZ"/>
  </r>
  <r>
    <s v="Feb"/>
    <n v="1017"/>
    <n v="1172"/>
    <s v="Chlorine Test kit"/>
    <n v="15.9"/>
    <n v="124"/>
    <n v="108.1"/>
    <n v="21.62"/>
    <x v="14"/>
    <s v="Rose"/>
    <s v="NM"/>
  </r>
  <r>
    <s v="Jan"/>
    <n v="1018"/>
    <n v="2877"/>
    <s v="Chlorine Test kit"/>
    <n v="13.9"/>
    <n v="8"/>
    <n v="-5.9"/>
    <n v="-0.59000000000000008"/>
    <x v="15"/>
    <s v="Ruby"/>
    <s v="NM"/>
  </r>
  <r>
    <s v="Jan"/>
    <n v="1019"/>
    <n v="8722"/>
    <s v="Skimmer"/>
    <n v="9"/>
    <n v="87"/>
    <n v="78"/>
    <n v="15.600000000000001"/>
    <x v="16"/>
    <s v="Ryan"/>
    <s v="NM"/>
  </r>
  <r>
    <m/>
    <m/>
    <m/>
    <m/>
    <m/>
    <m/>
    <m/>
    <m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4A75C-8207-4680-A6A0-9079AACC7C0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9">
        <item x="14"/>
        <item x="12"/>
        <item x="15"/>
        <item x="11"/>
        <item x="4"/>
        <item x="9"/>
        <item x="8"/>
        <item x="16"/>
        <item x="1"/>
        <item x="0"/>
        <item x="6"/>
        <item x="7"/>
        <item x="10"/>
        <item x="3"/>
        <item x="5"/>
        <item x="2"/>
        <item x="13"/>
        <item x="17"/>
        <item t="default"/>
      </items>
    </pivotField>
    <pivotField showAll="0"/>
    <pivotField showAll="0"/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Profit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A061-6C6D-4BA6-AE66-8FA8DE479274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D473-39BD-4BC4-99A2-C0197C749FBE}">
  <dimension ref="A1:B22"/>
  <sheetViews>
    <sheetView tabSelected="1" workbookViewId="0"/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t="s">
        <v>67</v>
      </c>
    </row>
    <row r="3" spans="1:2" x14ac:dyDescent="0.3">
      <c r="A3" s="6" t="s">
        <v>64</v>
      </c>
      <c r="B3" t="s">
        <v>63</v>
      </c>
    </row>
    <row r="4" spans="1:2" x14ac:dyDescent="0.3">
      <c r="A4" s="1" t="s">
        <v>28</v>
      </c>
      <c r="B4" s="5">
        <v>108.1</v>
      </c>
    </row>
    <row r="5" spans="1:2" x14ac:dyDescent="0.3">
      <c r="A5" s="1" t="s">
        <v>14</v>
      </c>
      <c r="B5" s="5">
        <v>470</v>
      </c>
    </row>
    <row r="6" spans="1:2" x14ac:dyDescent="0.3">
      <c r="A6" s="1" t="s">
        <v>20</v>
      </c>
      <c r="B6" s="5">
        <v>-5.9</v>
      </c>
    </row>
    <row r="7" spans="1:2" x14ac:dyDescent="0.3">
      <c r="A7" s="1" t="s">
        <v>16</v>
      </c>
      <c r="B7" s="5">
        <v>1.0999999999999996</v>
      </c>
    </row>
    <row r="8" spans="1:2" x14ac:dyDescent="0.3">
      <c r="A8" s="1" t="s">
        <v>27</v>
      </c>
      <c r="B8" s="5">
        <v>-20.8</v>
      </c>
    </row>
    <row r="9" spans="1:2" x14ac:dyDescent="0.3">
      <c r="A9" s="1" t="s">
        <v>19</v>
      </c>
      <c r="B9" s="5">
        <v>-1.1999999999999993</v>
      </c>
    </row>
    <row r="10" spans="1:2" x14ac:dyDescent="0.3">
      <c r="A10" s="1" t="s">
        <v>26</v>
      </c>
      <c r="B10" s="5">
        <v>-28.7</v>
      </c>
    </row>
    <row r="11" spans="1:2" x14ac:dyDescent="0.3">
      <c r="A11" s="1" t="s">
        <v>23</v>
      </c>
      <c r="B11" s="5">
        <v>78</v>
      </c>
    </row>
    <row r="12" spans="1:2" x14ac:dyDescent="0.3">
      <c r="A12" s="1" t="s">
        <v>12</v>
      </c>
      <c r="B12" s="5">
        <v>80.5</v>
      </c>
    </row>
    <row r="13" spans="1:2" x14ac:dyDescent="0.3">
      <c r="A13" s="1" t="s">
        <v>21</v>
      </c>
      <c r="B13" s="5">
        <v>5.1000000000000014</v>
      </c>
    </row>
    <row r="14" spans="1:2" x14ac:dyDescent="0.3">
      <c r="A14" s="1" t="s">
        <v>15</v>
      </c>
      <c r="B14" s="5">
        <v>482.9</v>
      </c>
    </row>
    <row r="15" spans="1:2" x14ac:dyDescent="0.3">
      <c r="A15" s="1" t="s">
        <v>13</v>
      </c>
      <c r="B15" s="5">
        <v>0.5</v>
      </c>
    </row>
    <row r="16" spans="1:2" x14ac:dyDescent="0.3">
      <c r="A16" s="1" t="s">
        <v>24</v>
      </c>
      <c r="B16" s="5">
        <v>-1.4399999999999995</v>
      </c>
    </row>
    <row r="17" spans="1:2" x14ac:dyDescent="0.3">
      <c r="A17" s="1" t="s">
        <v>18</v>
      </c>
      <c r="B17" s="5">
        <v>-10</v>
      </c>
    </row>
    <row r="18" spans="1:2" x14ac:dyDescent="0.3">
      <c r="A18" s="1" t="s">
        <v>22</v>
      </c>
      <c r="B18" s="5">
        <v>6.2000000000000011</v>
      </c>
    </row>
    <row r="19" spans="1:2" x14ac:dyDescent="0.3">
      <c r="A19" s="1" t="s">
        <v>25</v>
      </c>
      <c r="B19" s="5">
        <v>487.8</v>
      </c>
    </row>
    <row r="20" spans="1:2" x14ac:dyDescent="0.3">
      <c r="A20" s="1" t="s">
        <v>17</v>
      </c>
      <c r="B20" s="5">
        <v>84.2</v>
      </c>
    </row>
    <row r="21" spans="1:2" x14ac:dyDescent="0.3">
      <c r="A21" s="1" t="s">
        <v>65</v>
      </c>
      <c r="B21" s="5"/>
    </row>
    <row r="22" spans="1:2" x14ac:dyDescent="0.3">
      <c r="A22" s="1" t="s">
        <v>66</v>
      </c>
      <c r="B22" s="5">
        <v>1736.36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4F57-1867-4057-BEA4-CCDD5F153532}">
  <dimension ref="A1:K25"/>
  <sheetViews>
    <sheetView workbookViewId="0">
      <selection sqref="A1:K22"/>
    </sheetView>
  </sheetViews>
  <sheetFormatPr defaultRowHeight="14.4" x14ac:dyDescent="0.3"/>
  <cols>
    <col min="2" max="2" width="11.77734375" customWidth="1"/>
    <col min="4" max="4" width="15.33203125" customWidth="1"/>
    <col min="6" max="6" width="10.109375" bestFit="1" customWidth="1"/>
    <col min="8" max="8" width="11.33203125" customWidth="1"/>
  </cols>
  <sheetData>
    <row r="1" spans="1:11" ht="105.6" customHeight="1" x14ac:dyDescent="0.3">
      <c r="A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33</v>
      </c>
      <c r="H1" s="2" t="s">
        <v>8</v>
      </c>
      <c r="I1" s="2" t="s">
        <v>10</v>
      </c>
      <c r="J1" s="2" t="s">
        <v>11</v>
      </c>
      <c r="K1" s="2" t="s">
        <v>9</v>
      </c>
    </row>
    <row r="2" spans="1:11" x14ac:dyDescent="0.3">
      <c r="A2" t="s">
        <v>1</v>
      </c>
      <c r="B2" s="3">
        <v>1020</v>
      </c>
      <c r="C2">
        <v>4421</v>
      </c>
      <c r="D2" t="s">
        <v>35</v>
      </c>
      <c r="E2" s="4">
        <v>11.2</v>
      </c>
      <c r="F2" s="4">
        <v>16.3</v>
      </c>
      <c r="G2" s="4">
        <f>F2-E2</f>
        <v>5.1000000000000014</v>
      </c>
      <c r="H2" s="4">
        <f>IF(F2&gt;50,G2*0.2,G2*0.1)</f>
        <v>0.51000000000000012</v>
      </c>
      <c r="I2" t="s">
        <v>21</v>
      </c>
      <c r="J2" t="s">
        <v>52</v>
      </c>
      <c r="K2" t="s">
        <v>32</v>
      </c>
    </row>
    <row r="3" spans="1:11" x14ac:dyDescent="0.3">
      <c r="A3" t="s">
        <v>1</v>
      </c>
      <c r="B3" s="3">
        <v>1001</v>
      </c>
      <c r="C3">
        <v>9822</v>
      </c>
      <c r="D3" s="4" t="s">
        <v>34</v>
      </c>
      <c r="E3" s="4">
        <v>15.9</v>
      </c>
      <c r="F3" s="4">
        <v>98.4</v>
      </c>
      <c r="G3" s="4">
        <f>F3-E3</f>
        <v>82.5</v>
      </c>
      <c r="H3" s="4">
        <f>IF(F3&gt;50,G3*0.2,G3*0.1)</f>
        <v>16.5</v>
      </c>
      <c r="I3" t="s">
        <v>12</v>
      </c>
      <c r="J3" t="s">
        <v>43</v>
      </c>
      <c r="K3" t="s">
        <v>29</v>
      </c>
    </row>
    <row r="4" spans="1:11" x14ac:dyDescent="0.3">
      <c r="A4" t="s">
        <v>1</v>
      </c>
      <c r="B4" s="3">
        <f>B3+1</f>
        <v>1002</v>
      </c>
      <c r="C4">
        <v>2499</v>
      </c>
      <c r="D4" t="s">
        <v>35</v>
      </c>
      <c r="E4" s="4">
        <v>14.2</v>
      </c>
      <c r="F4" s="4">
        <v>502</v>
      </c>
      <c r="G4" s="4">
        <f>F4-E4</f>
        <v>487.8</v>
      </c>
      <c r="H4" s="4">
        <f>IF(F4&gt;50,G4*0.2,G4*0.1)</f>
        <v>97.56</v>
      </c>
      <c r="I4" t="s">
        <v>25</v>
      </c>
      <c r="J4" t="s">
        <v>56</v>
      </c>
      <c r="K4" t="s">
        <v>30</v>
      </c>
    </row>
    <row r="5" spans="1:11" x14ac:dyDescent="0.3">
      <c r="A5" t="s">
        <v>1</v>
      </c>
      <c r="B5" s="3">
        <f>B4+1</f>
        <v>1003</v>
      </c>
      <c r="C5">
        <v>1109</v>
      </c>
      <c r="D5" t="s">
        <v>39</v>
      </c>
      <c r="E5" s="4">
        <v>18</v>
      </c>
      <c r="F5" s="4">
        <v>8</v>
      </c>
      <c r="G5" s="4">
        <f>F5-E5</f>
        <v>-10</v>
      </c>
      <c r="H5" s="4">
        <f>IF(F5&gt;50,G5*0.2,G5*0.1)</f>
        <v>-1</v>
      </c>
      <c r="I5" t="s">
        <v>18</v>
      </c>
      <c r="J5" t="s">
        <v>49</v>
      </c>
      <c r="K5" t="s">
        <v>31</v>
      </c>
    </row>
    <row r="6" spans="1:11" x14ac:dyDescent="0.3">
      <c r="A6" t="s">
        <v>1</v>
      </c>
      <c r="B6" s="3">
        <f>B5+1</f>
        <v>1004</v>
      </c>
      <c r="C6">
        <v>1109</v>
      </c>
      <c r="D6" t="s">
        <v>42</v>
      </c>
      <c r="E6" s="4">
        <v>30</v>
      </c>
      <c r="F6" s="4">
        <v>9.1999999999999993</v>
      </c>
      <c r="G6" s="4">
        <f>F6-E6</f>
        <v>-20.8</v>
      </c>
      <c r="H6" s="4">
        <f>IF(F6&gt;50,G6*0.2,G6*0.1)</f>
        <v>-2.08</v>
      </c>
      <c r="I6" t="s">
        <v>27</v>
      </c>
      <c r="J6" t="s">
        <v>58</v>
      </c>
      <c r="K6" t="s">
        <v>30</v>
      </c>
    </row>
    <row r="7" spans="1:11" x14ac:dyDescent="0.3">
      <c r="A7" t="s">
        <v>1</v>
      </c>
      <c r="B7" s="3">
        <f>B6+1</f>
        <v>1005</v>
      </c>
      <c r="C7">
        <v>9212</v>
      </c>
      <c r="D7" t="s">
        <v>35</v>
      </c>
      <c r="E7" s="4">
        <v>10.1</v>
      </c>
      <c r="F7" s="4">
        <v>16.3</v>
      </c>
      <c r="G7" s="4">
        <f>F7-E7</f>
        <v>6.2000000000000011</v>
      </c>
      <c r="H7" s="4">
        <f>IF(F7&gt;50,G7*0.2,G7*0.1)</f>
        <v>0.62000000000000011</v>
      </c>
      <c r="I7" t="s">
        <v>22</v>
      </c>
      <c r="J7" t="s">
        <v>53</v>
      </c>
      <c r="K7" t="s">
        <v>31</v>
      </c>
    </row>
    <row r="8" spans="1:11" x14ac:dyDescent="0.3">
      <c r="A8" t="s">
        <v>1</v>
      </c>
      <c r="B8" s="3">
        <f>B7+1</f>
        <v>1006</v>
      </c>
      <c r="C8">
        <v>8722</v>
      </c>
      <c r="D8" t="s">
        <v>37</v>
      </c>
      <c r="E8" s="4">
        <v>19.100000000000001</v>
      </c>
      <c r="F8" s="4">
        <v>502</v>
      </c>
      <c r="G8" s="4">
        <f>F8-E8</f>
        <v>482.9</v>
      </c>
      <c r="H8" s="4">
        <f>IF(F8&gt;50,G8*0.2,G8*0.1)</f>
        <v>96.58</v>
      </c>
      <c r="I8" t="s">
        <v>15</v>
      </c>
      <c r="J8" t="s">
        <v>46</v>
      </c>
      <c r="K8" t="s">
        <v>31</v>
      </c>
    </row>
    <row r="9" spans="1:11" x14ac:dyDescent="0.3">
      <c r="A9" t="s">
        <v>2</v>
      </c>
      <c r="B9" s="3">
        <f>B8+1</f>
        <v>1007</v>
      </c>
      <c r="C9">
        <v>8794</v>
      </c>
      <c r="D9" t="s">
        <v>36</v>
      </c>
      <c r="E9" s="4">
        <v>10</v>
      </c>
      <c r="F9" s="4">
        <v>8</v>
      </c>
      <c r="G9" s="4">
        <f>F9-E9</f>
        <v>-2</v>
      </c>
      <c r="H9" s="4">
        <f>IF(F9&gt;50,G9*0.2,G9*0.1)</f>
        <v>-0.2</v>
      </c>
      <c r="I9" t="s">
        <v>12</v>
      </c>
      <c r="J9" t="s">
        <v>46</v>
      </c>
      <c r="K9" t="s">
        <v>30</v>
      </c>
    </row>
    <row r="10" spans="1:11" x14ac:dyDescent="0.3">
      <c r="A10" t="s">
        <v>1</v>
      </c>
      <c r="B10" s="3">
        <f>B9+1</f>
        <v>1008</v>
      </c>
      <c r="C10">
        <v>2877</v>
      </c>
      <c r="D10" t="s">
        <v>35</v>
      </c>
      <c r="E10" s="4">
        <v>10</v>
      </c>
      <c r="F10" s="4">
        <v>16.3</v>
      </c>
      <c r="G10" s="4">
        <f>F10-E10</f>
        <v>6.3000000000000007</v>
      </c>
      <c r="H10" s="4">
        <f>IF(F10&gt;50,G10*0.2,G10*0.1)</f>
        <v>0.63000000000000012</v>
      </c>
      <c r="I10" t="s">
        <v>13</v>
      </c>
      <c r="J10" t="s">
        <v>44</v>
      </c>
      <c r="K10" t="s">
        <v>30</v>
      </c>
    </row>
    <row r="11" spans="1:11" x14ac:dyDescent="0.3">
      <c r="A11" t="s">
        <v>1</v>
      </c>
      <c r="B11" s="3">
        <f>B10+1</f>
        <v>1009</v>
      </c>
      <c r="C11">
        <v>2242</v>
      </c>
      <c r="D11" t="s">
        <v>36</v>
      </c>
      <c r="E11" s="4">
        <v>45</v>
      </c>
      <c r="F11" s="4">
        <v>16.3</v>
      </c>
      <c r="G11" s="4">
        <f>F11-E11</f>
        <v>-28.7</v>
      </c>
      <c r="H11" s="4">
        <f>IF(F11&gt;50,G11*0.2,G11*0.1)</f>
        <v>-2.87</v>
      </c>
      <c r="I11" t="s">
        <v>26</v>
      </c>
      <c r="J11" t="s">
        <v>57</v>
      </c>
      <c r="K11" t="s">
        <v>31</v>
      </c>
    </row>
    <row r="12" spans="1:11" x14ac:dyDescent="0.3">
      <c r="A12" t="s">
        <v>1</v>
      </c>
      <c r="B12" s="3">
        <f>B11+1</f>
        <v>1010</v>
      </c>
      <c r="C12">
        <v>2877</v>
      </c>
      <c r="D12" t="s">
        <v>35</v>
      </c>
      <c r="E12" s="4">
        <v>17.5</v>
      </c>
      <c r="F12" s="4">
        <v>16.3</v>
      </c>
      <c r="G12" s="4">
        <f>F12-E12</f>
        <v>-1.1999999999999993</v>
      </c>
      <c r="H12" s="4">
        <f>IF(F12&gt;50,G12*0.2,G12*0.1)</f>
        <v>-0.11999999999999994</v>
      </c>
      <c r="I12" t="s">
        <v>19</v>
      </c>
      <c r="J12" t="s">
        <v>50</v>
      </c>
      <c r="K12" t="s">
        <v>29</v>
      </c>
    </row>
    <row r="13" spans="1:11" x14ac:dyDescent="0.3">
      <c r="A13" t="s">
        <v>1</v>
      </c>
      <c r="B13" s="3">
        <f>B12+1</f>
        <v>1011</v>
      </c>
      <c r="C13">
        <v>2877</v>
      </c>
      <c r="D13" t="s">
        <v>41</v>
      </c>
      <c r="E13" s="4">
        <v>8.44</v>
      </c>
      <c r="F13" s="4">
        <v>7</v>
      </c>
      <c r="G13" s="4">
        <f>F13-E13</f>
        <v>-1.4399999999999995</v>
      </c>
      <c r="H13" s="4">
        <f>IF(F13&gt;50,G13*0.2,G13*0.1)</f>
        <v>-0.14399999999999996</v>
      </c>
      <c r="I13" t="s">
        <v>24</v>
      </c>
      <c r="J13" t="s">
        <v>55</v>
      </c>
      <c r="K13" t="s">
        <v>32</v>
      </c>
    </row>
    <row r="14" spans="1:11" x14ac:dyDescent="0.3">
      <c r="A14" t="s">
        <v>1</v>
      </c>
      <c r="B14" s="3">
        <f>B13+1</f>
        <v>1012</v>
      </c>
      <c r="C14">
        <v>1109</v>
      </c>
      <c r="D14" t="s">
        <v>38</v>
      </c>
      <c r="E14" s="4">
        <v>6.9</v>
      </c>
      <c r="F14" s="4">
        <v>8</v>
      </c>
      <c r="G14" s="4">
        <f>F14-E14</f>
        <v>1.0999999999999996</v>
      </c>
      <c r="H14" s="4">
        <f>IF(F14&gt;50,G14*0.2,G14*0.1)</f>
        <v>0.10999999999999997</v>
      </c>
      <c r="I14" t="s">
        <v>16</v>
      </c>
      <c r="J14" t="s">
        <v>47</v>
      </c>
      <c r="K14" t="s">
        <v>31</v>
      </c>
    </row>
    <row r="15" spans="1:11" x14ac:dyDescent="0.3">
      <c r="A15" t="s">
        <v>2</v>
      </c>
      <c r="B15" s="3">
        <f>B14+1</f>
        <v>1013</v>
      </c>
      <c r="C15">
        <v>4587</v>
      </c>
      <c r="D15" t="s">
        <v>36</v>
      </c>
      <c r="E15" s="4">
        <v>22.1</v>
      </c>
      <c r="F15" s="4">
        <v>16.3</v>
      </c>
      <c r="G15" s="4">
        <f>F15-E15</f>
        <v>-5.8000000000000007</v>
      </c>
      <c r="H15" s="4">
        <f>IF(F15&gt;50,G15*0.2,G15*0.1)</f>
        <v>-0.58000000000000007</v>
      </c>
      <c r="I15" t="s">
        <v>13</v>
      </c>
      <c r="J15" t="s">
        <v>47</v>
      </c>
      <c r="K15" t="s">
        <v>32</v>
      </c>
    </row>
    <row r="16" spans="1:11" x14ac:dyDescent="0.3">
      <c r="A16" t="s">
        <v>1</v>
      </c>
      <c r="B16" s="3">
        <f>B15+1</f>
        <v>1014</v>
      </c>
      <c r="C16">
        <v>2499</v>
      </c>
      <c r="D16" t="s">
        <v>36</v>
      </c>
      <c r="E16" s="4">
        <v>22.1</v>
      </c>
      <c r="F16" s="4">
        <v>9.1999999999999993</v>
      </c>
      <c r="G16" s="4">
        <f>F16-E16</f>
        <v>-12.900000000000002</v>
      </c>
      <c r="H16" s="4">
        <f>IF(F16&gt;50,G16*0.2,G16*0.1)</f>
        <v>-1.2900000000000003</v>
      </c>
      <c r="I16" t="s">
        <v>14</v>
      </c>
      <c r="J16" t="s">
        <v>45</v>
      </c>
      <c r="K16" t="s">
        <v>31</v>
      </c>
    </row>
    <row r="17" spans="1:11" x14ac:dyDescent="0.3">
      <c r="A17" t="s">
        <v>1</v>
      </c>
      <c r="B17" s="3">
        <f>B16+1</f>
        <v>1015</v>
      </c>
      <c r="C17">
        <v>9822</v>
      </c>
      <c r="D17" t="s">
        <v>34</v>
      </c>
      <c r="E17" s="4">
        <v>14.2</v>
      </c>
      <c r="F17" s="4">
        <v>98.4</v>
      </c>
      <c r="G17" s="4">
        <f>F17-E17</f>
        <v>84.2</v>
      </c>
      <c r="H17" s="4">
        <f>IF(F17&gt;50,G17*0.2,G17*0.1)</f>
        <v>16.84</v>
      </c>
      <c r="I17" t="s">
        <v>17</v>
      </c>
      <c r="J17" t="s">
        <v>48</v>
      </c>
      <c r="K17" t="s">
        <v>31</v>
      </c>
    </row>
    <row r="18" spans="1:11" x14ac:dyDescent="0.3">
      <c r="A18" t="s">
        <v>2</v>
      </c>
      <c r="B18" s="3">
        <f>B17+1</f>
        <v>1016</v>
      </c>
      <c r="C18">
        <v>3356</v>
      </c>
      <c r="D18" t="s">
        <v>35</v>
      </c>
      <c r="E18" s="4">
        <v>19.100000000000001</v>
      </c>
      <c r="F18" s="4">
        <v>502</v>
      </c>
      <c r="G18" s="4">
        <f>F18-E18</f>
        <v>482.9</v>
      </c>
      <c r="H18" s="4">
        <f>IF(F18&gt;50,G18*0.2,G18*0.1)</f>
        <v>96.58</v>
      </c>
      <c r="I18" t="s">
        <v>14</v>
      </c>
      <c r="J18" t="s">
        <v>48</v>
      </c>
      <c r="K18" t="s">
        <v>31</v>
      </c>
    </row>
    <row r="19" spans="1:11" x14ac:dyDescent="0.3">
      <c r="A19" t="s">
        <v>2</v>
      </c>
      <c r="B19" s="3">
        <f>B18+1</f>
        <v>1017</v>
      </c>
      <c r="C19">
        <v>1172</v>
      </c>
      <c r="D19" t="s">
        <v>38</v>
      </c>
      <c r="E19" s="4">
        <v>15.9</v>
      </c>
      <c r="F19" s="4">
        <v>124</v>
      </c>
      <c r="G19" s="4">
        <f>F19-E19</f>
        <v>108.1</v>
      </c>
      <c r="H19" s="4">
        <f>IF(F19&gt;50,G19*0.2,G19*0.1)</f>
        <v>21.62</v>
      </c>
      <c r="I19" t="s">
        <v>28</v>
      </c>
      <c r="J19" t="s">
        <v>59</v>
      </c>
      <c r="K19" t="s">
        <v>29</v>
      </c>
    </row>
    <row r="20" spans="1:11" x14ac:dyDescent="0.3">
      <c r="A20" t="s">
        <v>1</v>
      </c>
      <c r="B20" s="3">
        <f>B19+1</f>
        <v>1018</v>
      </c>
      <c r="C20">
        <v>2877</v>
      </c>
      <c r="D20" t="s">
        <v>38</v>
      </c>
      <c r="E20" s="4">
        <v>13.9</v>
      </c>
      <c r="F20" s="4">
        <v>8</v>
      </c>
      <c r="G20" s="4">
        <f>F20-E20</f>
        <v>-5.9</v>
      </c>
      <c r="H20" s="4">
        <f>IF(F20&gt;50,G20*0.2,G20*0.1)</f>
        <v>-0.59000000000000008</v>
      </c>
      <c r="I20" t="s">
        <v>20</v>
      </c>
      <c r="J20" t="s">
        <v>51</v>
      </c>
      <c r="K20" t="s">
        <v>29</v>
      </c>
    </row>
    <row r="21" spans="1:11" x14ac:dyDescent="0.3">
      <c r="A21" t="s">
        <v>1</v>
      </c>
      <c r="B21" s="3">
        <f>B20+1</f>
        <v>1019</v>
      </c>
      <c r="C21">
        <v>8722</v>
      </c>
      <c r="D21" t="s">
        <v>40</v>
      </c>
      <c r="E21" s="4">
        <v>9</v>
      </c>
      <c r="F21" s="4">
        <v>87</v>
      </c>
      <c r="G21" s="4">
        <f>F21-E21</f>
        <v>78</v>
      </c>
      <c r="H21" s="4">
        <f>IF(F21&gt;50,G21*0.2,G21*0.1)</f>
        <v>15.600000000000001</v>
      </c>
      <c r="I21" t="s">
        <v>23</v>
      </c>
      <c r="J21" t="s">
        <v>54</v>
      </c>
      <c r="K21" t="s">
        <v>29</v>
      </c>
    </row>
    <row r="23" spans="1:11" x14ac:dyDescent="0.3">
      <c r="A23" t="s">
        <v>60</v>
      </c>
      <c r="F23" s="4">
        <f>SUM(F2:F21)</f>
        <v>2069</v>
      </c>
    </row>
    <row r="24" spans="1:11" x14ac:dyDescent="0.3">
      <c r="A24" t="s">
        <v>61</v>
      </c>
      <c r="F24" s="4">
        <f>SUMIF(F2:F21,"&gt;50")</f>
        <v>1913.8000000000002</v>
      </c>
    </row>
    <row r="25" spans="1:11" x14ac:dyDescent="0.3">
      <c r="A25" t="s">
        <v>62</v>
      </c>
      <c r="F25" s="4">
        <f>SUMIF(F2:F21,"&lt;=50")</f>
        <v>155.19999999999999</v>
      </c>
    </row>
  </sheetData>
  <sortState xmlns:xlrd2="http://schemas.microsoft.com/office/spreadsheetml/2017/richdata2" ref="A2:K21">
    <sortCondition ref="J2:J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2026-01-17T05:29:20Z</dcterms:created>
  <dcterms:modified xsi:type="dcterms:W3CDTF">2026-01-17T06:49:01Z</dcterms:modified>
</cp:coreProperties>
</file>