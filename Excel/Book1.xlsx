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0" documentId="8_{D1B631E0-D79C-49DD-BE9D-427801409F5B}" xr6:coauthVersionLast="47" xr6:coauthVersionMax="47" xr10:uidLastSave="{00000000-0000-0000-0000-000000000000}"/>
  <bookViews>
    <workbookView xWindow="-108" yWindow="-108" windowWidth="23256" windowHeight="12456" xr2:uid="{D149198D-D0AC-4143-862E-FA71403A1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 s="1"/>
  <c r="AA3" i="1" s="1"/>
  <c r="AB3" i="1" s="1"/>
  <c r="U8" i="1"/>
  <c r="S9" i="1"/>
  <c r="X9" i="1" s="1"/>
  <c r="U10" i="1"/>
  <c r="U11" i="1"/>
  <c r="T12" i="1"/>
  <c r="Y12" i="1" s="1"/>
  <c r="U12" i="1"/>
  <c r="Z12" i="1" s="1"/>
  <c r="S13" i="1"/>
  <c r="S16" i="1"/>
  <c r="T16" i="1"/>
  <c r="Y16" i="1" s="1"/>
  <c r="S17" i="1"/>
  <c r="S19" i="1"/>
  <c r="U19" i="1"/>
  <c r="S4" i="1"/>
  <c r="T4" i="1"/>
  <c r="U4" i="1"/>
  <c r="V4" i="1"/>
  <c r="T3" i="1"/>
  <c r="U3" i="1" s="1"/>
  <c r="V3" i="1" s="1"/>
  <c r="W3" i="1" s="1"/>
  <c r="O5" i="1"/>
  <c r="P5" i="1"/>
  <c r="O6" i="1"/>
  <c r="P6" i="1"/>
  <c r="O7" i="1"/>
  <c r="P7" i="1"/>
  <c r="O8" i="1"/>
  <c r="P8" i="1"/>
  <c r="Z8" i="1" s="1"/>
  <c r="O9" i="1"/>
  <c r="Y9" i="1" s="1"/>
  <c r="P9" i="1"/>
  <c r="O10" i="1"/>
  <c r="P10" i="1"/>
  <c r="O11" i="1"/>
  <c r="P11" i="1"/>
  <c r="O12" i="1"/>
  <c r="P12" i="1"/>
  <c r="O13" i="1"/>
  <c r="P13" i="1"/>
  <c r="O14" i="1"/>
  <c r="Y14" i="1" s="1"/>
  <c r="P14" i="1"/>
  <c r="O15" i="1"/>
  <c r="P15" i="1"/>
  <c r="O16" i="1"/>
  <c r="P16" i="1"/>
  <c r="O17" i="1"/>
  <c r="P17" i="1"/>
  <c r="O18" i="1"/>
  <c r="P18" i="1"/>
  <c r="O19" i="1"/>
  <c r="P19" i="1"/>
  <c r="P4" i="1"/>
  <c r="Q4" i="1"/>
  <c r="O4" i="1"/>
  <c r="Y4" i="1" s="1"/>
  <c r="O3" i="1"/>
  <c r="P3" i="1" s="1"/>
  <c r="Q3" i="1" s="1"/>
  <c r="R3" i="1" s="1"/>
  <c r="I4" i="1"/>
  <c r="I5" i="1"/>
  <c r="S5" i="1" s="1"/>
  <c r="X5" i="1" s="1"/>
  <c r="I6" i="1"/>
  <c r="S6" i="1" s="1"/>
  <c r="X6" i="1" s="1"/>
  <c r="I7" i="1"/>
  <c r="S7" i="1" s="1"/>
  <c r="I8" i="1"/>
  <c r="S8" i="1" s="1"/>
  <c r="X8" i="1" s="1"/>
  <c r="I9" i="1"/>
  <c r="I10" i="1"/>
  <c r="S10" i="1" s="1"/>
  <c r="X10" i="1" s="1"/>
  <c r="I11" i="1"/>
  <c r="S11" i="1" s="1"/>
  <c r="I12" i="1"/>
  <c r="S12" i="1" s="1"/>
  <c r="I13" i="1"/>
  <c r="I14" i="1"/>
  <c r="S14" i="1" s="1"/>
  <c r="X14" i="1" s="1"/>
  <c r="I15" i="1"/>
  <c r="S15" i="1" s="1"/>
  <c r="I16" i="1"/>
  <c r="I17" i="1"/>
  <c r="I18" i="1"/>
  <c r="S18" i="1" s="1"/>
  <c r="X18" i="1" s="1"/>
  <c r="I19" i="1"/>
  <c r="L4" i="1"/>
  <c r="K19" i="1"/>
  <c r="K18" i="1"/>
  <c r="U18" i="1" s="1"/>
  <c r="K17" i="1"/>
  <c r="U17" i="1" s="1"/>
  <c r="Z17" i="1" s="1"/>
  <c r="K16" i="1"/>
  <c r="U16" i="1" s="1"/>
  <c r="Z16" i="1" s="1"/>
  <c r="K15" i="1"/>
  <c r="U15" i="1" s="1"/>
  <c r="K14" i="1"/>
  <c r="U14" i="1" s="1"/>
  <c r="K13" i="1"/>
  <c r="U13" i="1" s="1"/>
  <c r="Z13" i="1" s="1"/>
  <c r="K12" i="1"/>
  <c r="K11" i="1"/>
  <c r="K10" i="1"/>
  <c r="K9" i="1"/>
  <c r="U9" i="1" s="1"/>
  <c r="K8" i="1"/>
  <c r="K7" i="1"/>
  <c r="U7" i="1" s="1"/>
  <c r="K6" i="1"/>
  <c r="U6" i="1" s="1"/>
  <c r="K5" i="1"/>
  <c r="U5" i="1" s="1"/>
  <c r="Z5" i="1" s="1"/>
  <c r="K4" i="1"/>
  <c r="J19" i="1"/>
  <c r="T19" i="1" s="1"/>
  <c r="J18" i="1"/>
  <c r="T18" i="1" s="1"/>
  <c r="J17" i="1"/>
  <c r="T17" i="1" s="1"/>
  <c r="Y17" i="1" s="1"/>
  <c r="J16" i="1"/>
  <c r="J15" i="1"/>
  <c r="T15" i="1" s="1"/>
  <c r="J14" i="1"/>
  <c r="T14" i="1" s="1"/>
  <c r="J13" i="1"/>
  <c r="T13" i="1" s="1"/>
  <c r="J12" i="1"/>
  <c r="J11" i="1"/>
  <c r="T11" i="1" s="1"/>
  <c r="J10" i="1"/>
  <c r="T10" i="1" s="1"/>
  <c r="Y10" i="1" s="1"/>
  <c r="J9" i="1"/>
  <c r="T9" i="1" s="1"/>
  <c r="J8" i="1"/>
  <c r="T8" i="1" s="1"/>
  <c r="J7" i="1"/>
  <c r="T7" i="1" s="1"/>
  <c r="J6" i="1"/>
  <c r="T6" i="1" s="1"/>
  <c r="J5" i="1"/>
  <c r="T5" i="1" s="1"/>
  <c r="Y5" i="1" s="1"/>
  <c r="J4" i="1"/>
  <c r="J3" i="1"/>
  <c r="K3" i="1" s="1"/>
  <c r="L3" i="1" s="1"/>
  <c r="M3" i="1" s="1"/>
  <c r="H5" i="1"/>
  <c r="M5" i="1" s="1"/>
  <c r="G6" i="1"/>
  <c r="L6" i="1" s="1"/>
  <c r="V6" i="1" s="1"/>
  <c r="H6" i="1"/>
  <c r="M6" i="1" s="1"/>
  <c r="G7" i="1"/>
  <c r="L7" i="1" s="1"/>
  <c r="V7" i="1" s="1"/>
  <c r="H7" i="1"/>
  <c r="M7" i="1" s="1"/>
  <c r="G8" i="1"/>
  <c r="L8" i="1" s="1"/>
  <c r="V8" i="1" s="1"/>
  <c r="H8" i="1"/>
  <c r="M8" i="1" s="1"/>
  <c r="G9" i="1"/>
  <c r="L9" i="1" s="1"/>
  <c r="V9" i="1" s="1"/>
  <c r="H9" i="1"/>
  <c r="M9" i="1" s="1"/>
  <c r="G10" i="1"/>
  <c r="L10" i="1" s="1"/>
  <c r="V10" i="1" s="1"/>
  <c r="H10" i="1"/>
  <c r="M10" i="1" s="1"/>
  <c r="G11" i="1"/>
  <c r="L11" i="1" s="1"/>
  <c r="V11" i="1" s="1"/>
  <c r="H11" i="1"/>
  <c r="M11" i="1" s="1"/>
  <c r="G12" i="1"/>
  <c r="L12" i="1" s="1"/>
  <c r="V12" i="1" s="1"/>
  <c r="H12" i="1"/>
  <c r="M12" i="1" s="1"/>
  <c r="G13" i="1"/>
  <c r="L13" i="1" s="1"/>
  <c r="V13" i="1" s="1"/>
  <c r="H13" i="1"/>
  <c r="M13" i="1" s="1"/>
  <c r="G14" i="1"/>
  <c r="L14" i="1" s="1"/>
  <c r="V14" i="1" s="1"/>
  <c r="H14" i="1"/>
  <c r="M14" i="1" s="1"/>
  <c r="G15" i="1"/>
  <c r="L15" i="1" s="1"/>
  <c r="V15" i="1" s="1"/>
  <c r="H15" i="1"/>
  <c r="M15" i="1" s="1"/>
  <c r="G16" i="1"/>
  <c r="L16" i="1" s="1"/>
  <c r="V16" i="1" s="1"/>
  <c r="H16" i="1"/>
  <c r="M16" i="1" s="1"/>
  <c r="G17" i="1"/>
  <c r="L17" i="1" s="1"/>
  <c r="V17" i="1" s="1"/>
  <c r="H17" i="1"/>
  <c r="M17" i="1" s="1"/>
  <c r="G18" i="1"/>
  <c r="L18" i="1" s="1"/>
  <c r="V18" i="1" s="1"/>
  <c r="H18" i="1"/>
  <c r="M18" i="1" s="1"/>
  <c r="G19" i="1"/>
  <c r="L19" i="1" s="1"/>
  <c r="V19" i="1" s="1"/>
  <c r="H19" i="1"/>
  <c r="M19" i="1" s="1"/>
  <c r="H4" i="1"/>
  <c r="M4" i="1" s="1"/>
  <c r="W4" i="1" s="1"/>
  <c r="G5" i="1"/>
  <c r="L5" i="1" s="1"/>
  <c r="V5" i="1" s="1"/>
  <c r="E3" i="1"/>
  <c r="F3" i="1" s="1"/>
  <c r="G3" i="1" s="1"/>
  <c r="H3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X16" i="1" s="1"/>
  <c r="N17" i="1"/>
  <c r="N18" i="1"/>
  <c r="N19" i="1"/>
  <c r="D22" i="1"/>
  <c r="D24" i="1"/>
  <c r="D23" i="1"/>
  <c r="C22" i="1"/>
  <c r="C23" i="1"/>
  <c r="D21" i="1"/>
  <c r="C21" i="1"/>
  <c r="Y15" i="1" l="1"/>
  <c r="X15" i="1"/>
  <c r="AA4" i="1"/>
  <c r="X13" i="1"/>
  <c r="Y13" i="1"/>
  <c r="Z11" i="1"/>
  <c r="X19" i="1"/>
  <c r="Z10" i="1"/>
  <c r="Z15" i="1"/>
  <c r="Z4" i="1"/>
  <c r="Z19" i="1"/>
  <c r="Z7" i="1"/>
  <c r="X17" i="1"/>
  <c r="Z9" i="1"/>
  <c r="X7" i="1"/>
  <c r="Y8" i="1"/>
  <c r="Z14" i="1"/>
  <c r="X12" i="1"/>
  <c r="Y7" i="1"/>
  <c r="X11" i="1"/>
  <c r="Z18" i="1"/>
  <c r="Z6" i="1"/>
  <c r="Y18" i="1"/>
  <c r="Y11" i="1"/>
  <c r="Y19" i="1"/>
  <c r="Y6" i="1"/>
  <c r="W15" i="1"/>
  <c r="W11" i="1"/>
  <c r="W13" i="1"/>
  <c r="W16" i="1"/>
  <c r="W8" i="1"/>
  <c r="W18" i="1"/>
  <c r="W17" i="1"/>
  <c r="W12" i="1"/>
  <c r="W19" i="1"/>
  <c r="W7" i="1"/>
  <c r="W6" i="1"/>
  <c r="W10" i="1"/>
  <c r="W5" i="1"/>
  <c r="W14" i="1"/>
  <c r="W9" i="1"/>
  <c r="R13" i="1"/>
  <c r="Q13" i="1"/>
  <c r="AA13" i="1" s="1"/>
  <c r="R18" i="1"/>
  <c r="R12" i="1"/>
  <c r="Q7" i="1"/>
  <c r="AA7" i="1" s="1"/>
  <c r="R19" i="1"/>
  <c r="R7" i="1"/>
  <c r="Q19" i="1"/>
  <c r="AA19" i="1" s="1"/>
  <c r="R6" i="1"/>
  <c r="Q12" i="1"/>
  <c r="AA12" i="1" s="1"/>
  <c r="R11" i="1"/>
  <c r="Q6" i="1"/>
  <c r="AA6" i="1" s="1"/>
  <c r="Q18" i="1"/>
  <c r="AA18" i="1" s="1"/>
  <c r="R5" i="1"/>
  <c r="R17" i="1"/>
  <c r="Q16" i="1"/>
  <c r="AA16" i="1" s="1"/>
  <c r="Q10" i="1"/>
  <c r="AA10" i="1" s="1"/>
  <c r="Q9" i="1"/>
  <c r="AA9" i="1" s="1"/>
  <c r="R14" i="1"/>
  <c r="Q17" i="1"/>
  <c r="AA17" i="1" s="1"/>
  <c r="Q14" i="1"/>
  <c r="AA14" i="1" s="1"/>
  <c r="Q11" i="1"/>
  <c r="AA11" i="1" s="1"/>
  <c r="Q8" i="1"/>
  <c r="AA8" i="1" s="1"/>
  <c r="Q5" i="1"/>
  <c r="AA5" i="1" s="1"/>
  <c r="R16" i="1"/>
  <c r="R10" i="1"/>
  <c r="R15" i="1"/>
  <c r="R9" i="1"/>
  <c r="Q15" i="1"/>
  <c r="AA15" i="1" s="1"/>
  <c r="R8" i="1"/>
  <c r="R4" i="1"/>
  <c r="AB4" i="1" s="1"/>
  <c r="X4" i="1"/>
  <c r="S22" i="1"/>
  <c r="S21" i="1"/>
  <c r="S23" i="1" s="1"/>
  <c r="S24" i="1"/>
  <c r="N24" i="1"/>
  <c r="N21" i="1"/>
  <c r="N23" i="1" s="1"/>
  <c r="N22" i="1"/>
  <c r="Z22" i="1" l="1"/>
  <c r="Y21" i="1"/>
  <c r="Y23" i="1" s="1"/>
  <c r="AB8" i="1"/>
  <c r="AB14" i="1"/>
  <c r="AD14" i="1" s="1"/>
  <c r="Z21" i="1"/>
  <c r="Z23" i="1" s="1"/>
  <c r="Y24" i="1"/>
  <c r="Z24" i="1"/>
  <c r="Y22" i="1"/>
  <c r="AB19" i="1"/>
  <c r="AD19" i="1" s="1"/>
  <c r="AA24" i="1"/>
  <c r="AB11" i="1"/>
  <c r="AD11" i="1" s="1"/>
  <c r="AA22" i="1"/>
  <c r="AD4" i="1"/>
  <c r="AA21" i="1"/>
  <c r="AA23" i="1" s="1"/>
  <c r="AD8" i="1"/>
  <c r="AB18" i="1"/>
  <c r="AD18" i="1" s="1"/>
  <c r="AB16" i="1"/>
  <c r="AD16" i="1" s="1"/>
  <c r="AB6" i="1"/>
  <c r="AB7" i="1"/>
  <c r="AD7" i="1" s="1"/>
  <c r="AB13" i="1"/>
  <c r="AD13" i="1" s="1"/>
  <c r="AB15" i="1"/>
  <c r="AD15" i="1" s="1"/>
  <c r="AB9" i="1"/>
  <c r="AD9" i="1" s="1"/>
  <c r="AB12" i="1"/>
  <c r="AD12" i="1" s="1"/>
  <c r="AB17" i="1"/>
  <c r="AD17" i="1" s="1"/>
  <c r="AB10" i="1"/>
  <c r="AD10" i="1" s="1"/>
  <c r="AB5" i="1"/>
  <c r="X22" i="1"/>
  <c r="X21" i="1"/>
  <c r="X23" i="1" s="1"/>
  <c r="X24" i="1"/>
  <c r="AB24" i="1" l="1"/>
  <c r="AD6" i="1"/>
  <c r="AD5" i="1"/>
  <c r="AB22" i="1"/>
  <c r="AB21" i="1"/>
  <c r="AB23" i="1" s="1"/>
  <c r="AD24" i="1" l="1"/>
  <c r="AD21" i="1"/>
  <c r="AD23" i="1" s="1"/>
  <c r="AD22" i="1"/>
</calcChain>
</file>

<file path=xl/sharedStrings.xml><?xml version="1.0" encoding="utf-8"?>
<sst xmlns="http://schemas.openxmlformats.org/spreadsheetml/2006/main" count="47" uniqueCount="46">
  <si>
    <t>Employee Payroll</t>
  </si>
  <si>
    <t>Lastname</t>
  </si>
  <si>
    <t>fristname</t>
  </si>
  <si>
    <t>hourlywage</t>
  </si>
  <si>
    <t>O"Donald</t>
  </si>
  <si>
    <t>Herndanaez</t>
  </si>
  <si>
    <t>smith</t>
  </si>
  <si>
    <t>Baker</t>
  </si>
  <si>
    <t>Velinda</t>
  </si>
  <si>
    <t>Carrnehan</t>
  </si>
  <si>
    <t>WesternfieldPenfold</t>
  </si>
  <si>
    <t>Islllington</t>
  </si>
  <si>
    <t>Young</t>
  </si>
  <si>
    <t>Trenton</t>
  </si>
  <si>
    <t>Englrheart</t>
  </si>
  <si>
    <t>Norman</t>
  </si>
  <si>
    <t>Mann</t>
  </si>
  <si>
    <t>Underhull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</si>
  <si>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</si>
  <si>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</si>
  <si>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</si>
  <si>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</si>
  <si>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</si>
  <si>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</si>
  <si>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</si>
  <si>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</si>
  <si>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</si>
  <si>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</si>
  <si>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</si>
  <si>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</si>
  <si>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</si>
  <si>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</si>
  <si>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Brill</t>
  </si>
  <si>
    <t>Trent</t>
  </si>
  <si>
    <t xml:space="preserve">Kern </t>
  </si>
  <si>
    <t>Howard</t>
  </si>
  <si>
    <t xml:space="preserve">house worked Pay </t>
  </si>
  <si>
    <t>Max</t>
  </si>
  <si>
    <t>Min</t>
  </si>
  <si>
    <t>Average</t>
  </si>
  <si>
    <t>Total</t>
  </si>
  <si>
    <t>Mr.Sameer</t>
  </si>
  <si>
    <t>Over time Bonus</t>
  </si>
  <si>
    <t xml:space="preserve">Over time </t>
  </si>
  <si>
    <t>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</si>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</sst>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0.0"/>
    <numFmt numFmtId="166" formatCode="_-[$$-409]* #,##0_ ;_-[$$-409]* \-#,##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6" fontId="0" fillId="3" borderId="0" xfId="1" applyNumberFormat="1" applyFont="1" applyFill="1"/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347A-34C6-4BDA-A087-6399ED0969C6}">
  <dimension ref="A1:AD24"/>
  <sheetViews>
    <sheetView tabSelected="1" zoomScale="75" zoomScaleNormal="75" workbookViewId="0">
      <selection activeCell="C4" sqref="C4:C19"/>
    </sheetView>
  </sheetViews>
  <sheetFormatPr defaultRowHeight="14.4" x14ac:dyDescent="0.3"/>
  <cols>
    <col min="14" max="14" width="11.21875" bestFit="1" customWidth="1"/>
    <col min="15" max="18" width="11.21875" customWidth="1"/>
    <col min="19" max="23" width="9.109375" customWidth="1"/>
    <col min="24" max="24" width="12.88671875" customWidth="1"/>
    <col min="25" max="25" width="11.88671875" customWidth="1"/>
    <col min="26" max="26" width="11.5546875" customWidth="1"/>
    <col min="27" max="27" width="11.21875" customWidth="1"/>
    <col min="28" max="28" width="14.109375" customWidth="1"/>
    <col min="30" max="30" width="12.21875" customWidth="1"/>
  </cols>
  <sheetData>
    <row r="1" spans="1:30" x14ac:dyDescent="0.3">
      <c r="A1" t="s">
        <v>0</v>
      </c>
      <c r="C1" t="s">
        <v>41</v>
      </c>
    </row>
    <row r="2" spans="1:30" x14ac:dyDescent="0.3">
      <c r="D2" t="s">
        <v>36</v>
      </c>
      <c r="I2" t="s">
        <v>43</v>
      </c>
      <c r="N2" t="s">
        <v>44</v>
      </c>
      <c r="S2" t="s">
        <v>42</v>
      </c>
      <c r="X2" t="s">
        <v>40</v>
      </c>
    </row>
    <row r="3" spans="1:30" x14ac:dyDescent="0.3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">
        <v>46023</v>
      </c>
      <c r="T3" s="1">
        <f>S3+7</f>
        <v>46030</v>
      </c>
      <c r="U3" s="1">
        <f t="shared" ref="U3:W3" si="3">T3+7</f>
        <v>46037</v>
      </c>
      <c r="V3" s="1">
        <f t="shared" si="3"/>
        <v>46044</v>
      </c>
      <c r="W3" s="1">
        <f t="shared" si="3"/>
        <v>46051</v>
      </c>
      <c r="X3" s="1">
        <v>46023</v>
      </c>
      <c r="Y3" s="1">
        <f>X3+7</f>
        <v>46030</v>
      </c>
      <c r="Z3" s="1">
        <f t="shared" ref="Z3:AB3" si="4">Y3+7</f>
        <v>46037</v>
      </c>
      <c r="AA3" s="1">
        <f t="shared" si="4"/>
        <v>46044</v>
      </c>
      <c r="AB3" s="1">
        <f t="shared" si="4"/>
        <v>46051</v>
      </c>
      <c r="AD3" t="s">
        <v>45</v>
      </c>
    </row>
    <row r="4" spans="1:30" x14ac:dyDescent="0.3">
      <c r="A4" t="s">
        <v>34</v>
      </c>
      <c r="B4" t="s">
        <v>18</v>
      </c>
      <c r="C4" s="2">
        <v>15.9</v>
      </c>
      <c r="D4" s="6">
        <v>40</v>
      </c>
      <c r="E4" s="6">
        <v>42</v>
      </c>
      <c r="F4" s="6">
        <v>39</v>
      </c>
      <c r="G4" s="6">
        <v>30</v>
      </c>
      <c r="H4" s="6">
        <f ca="1">RANDBETWEEN(30,50)</f>
        <v>39</v>
      </c>
      <c r="I4" s="8">
        <f t="shared" ref="I4:I19" si="5">IF(D4&gt;40,D4-40,0)</f>
        <v>0</v>
      </c>
      <c r="J4" s="8">
        <f t="shared" ref="J4:J19" si="6">IF(E4&gt;40,E4-40,0)</f>
        <v>2</v>
      </c>
      <c r="K4" s="8">
        <f t="shared" ref="K4:K19" si="7">IF(F4&gt;40,F4-40,0)</f>
        <v>0</v>
      </c>
      <c r="L4" s="8">
        <f t="shared" ref="L4:L19" si="8">IF(G4&gt;40,G4-40,0)</f>
        <v>0</v>
      </c>
      <c r="M4" s="8">
        <f t="shared" ref="M4:M19" ca="1" si="9">IF(H4&gt;40,H4-40,0)</f>
        <v>0</v>
      </c>
      <c r="N4" s="10">
        <f t="shared" ref="N4:N19" si="10">C4*D4</f>
        <v>636</v>
      </c>
      <c r="O4" s="10">
        <f>$C4*E4</f>
        <v>667.80000000000007</v>
      </c>
      <c r="P4" s="10">
        <f t="shared" ref="P4:R4" si="11">$C4*F4</f>
        <v>620.1</v>
      </c>
      <c r="Q4" s="10">
        <f t="shared" si="11"/>
        <v>477</v>
      </c>
      <c r="R4" s="10">
        <f t="shared" ca="1" si="11"/>
        <v>620.1</v>
      </c>
      <c r="S4" s="11">
        <f>0.5*$C4*I4</f>
        <v>0</v>
      </c>
      <c r="T4" s="11">
        <f t="shared" ref="T4:W4" si="12">0.5*D4*J4</f>
        <v>40</v>
      </c>
      <c r="U4" s="11">
        <f t="shared" si="12"/>
        <v>0</v>
      </c>
      <c r="V4" s="11">
        <f t="shared" si="12"/>
        <v>0</v>
      </c>
      <c r="W4" s="11">
        <f t="shared" ca="1" si="12"/>
        <v>0</v>
      </c>
      <c r="X4" s="12">
        <f>SUM(N4+S4)</f>
        <v>636</v>
      </c>
      <c r="Y4" s="12">
        <f t="shared" ref="Y4:AB4" si="13">SUM(O4+T4)</f>
        <v>707.80000000000007</v>
      </c>
      <c r="Z4" s="12">
        <f t="shared" si="13"/>
        <v>620.1</v>
      </c>
      <c r="AA4" s="12">
        <f t="shared" si="13"/>
        <v>477</v>
      </c>
      <c r="AB4" s="12">
        <f t="shared" ca="1" si="13"/>
        <v>620.1</v>
      </c>
      <c r="AD4" s="13">
        <f ca="1">SUM(X4:AB4)</f>
        <v>3061</v>
      </c>
    </row>
    <row r="5" spans="1:30" x14ac:dyDescent="0.3">
      <c r="A5" t="s">
        <v>35</v>
      </c>
      <c r="B5" t="s">
        <v>19</v>
      </c>
      <c r="C5" s="2">
        <v>10</v>
      </c>
      <c r="D5" s="6">
        <v>42</v>
      </c>
      <c r="E5" s="6">
        <v>41</v>
      </c>
      <c r="F5" s="6">
        <v>40</v>
      </c>
      <c r="G5" s="6">
        <f ca="1">RANDBETWEEN(30,50)</f>
        <v>31</v>
      </c>
      <c r="H5" s="6">
        <f ca="1">RANDBETWEEN(30,50)</f>
        <v>40</v>
      </c>
      <c r="I5" s="8">
        <f t="shared" si="5"/>
        <v>2</v>
      </c>
      <c r="J5" s="8">
        <f t="shared" si="6"/>
        <v>1</v>
      </c>
      <c r="K5" s="8">
        <f t="shared" si="7"/>
        <v>0</v>
      </c>
      <c r="L5" s="8">
        <f t="shared" ca="1" si="8"/>
        <v>0</v>
      </c>
      <c r="M5" s="8">
        <f t="shared" ca="1" si="9"/>
        <v>0</v>
      </c>
      <c r="N5" s="10">
        <f t="shared" si="10"/>
        <v>420</v>
      </c>
      <c r="O5" s="10">
        <f t="shared" ref="O5:O19" si="14">$C5*E5</f>
        <v>410</v>
      </c>
      <c r="P5" s="10">
        <f t="shared" ref="P5:P19" si="15">$C5*F5</f>
        <v>400</v>
      </c>
      <c r="Q5" s="10">
        <f t="shared" ref="Q5:Q19" ca="1" si="16">$C5*G5</f>
        <v>310</v>
      </c>
      <c r="R5" s="10">
        <f t="shared" ref="R5:R19" ca="1" si="17">$C5*H5</f>
        <v>400</v>
      </c>
      <c r="S5" s="11">
        <f t="shared" ref="S5:S19" si="18">0.5*$C5*I5</f>
        <v>10</v>
      </c>
      <c r="T5" s="11">
        <f t="shared" ref="T5:T19" si="19">0.5*D5*J5</f>
        <v>21</v>
      </c>
      <c r="U5" s="11">
        <f t="shared" ref="U5:U19" si="20">0.5*E5*K5</f>
        <v>0</v>
      </c>
      <c r="V5" s="11">
        <f t="shared" ref="V5:V19" ca="1" si="21">0.5*F5*L5</f>
        <v>0</v>
      </c>
      <c r="W5" s="11">
        <f t="shared" ref="W5:W19" ca="1" si="22">0.5*G5*M5</f>
        <v>0</v>
      </c>
      <c r="X5" s="12">
        <f t="shared" ref="X5:X19" si="23">SUM(N5+S5)</f>
        <v>430</v>
      </c>
      <c r="Y5" s="12">
        <f t="shared" ref="Y5:Y19" si="24">SUM(O5+T5)</f>
        <v>431</v>
      </c>
      <c r="Z5" s="12">
        <f t="shared" ref="Z5:Z19" si="25">SUM(P5+U5)</f>
        <v>400</v>
      </c>
      <c r="AA5" s="12">
        <f t="shared" ref="AA5:AA19" ca="1" si="26">SUM(Q5+V5)</f>
        <v>310</v>
      </c>
      <c r="AB5" s="12">
        <f t="shared" ref="AB5:AB19" ca="1" si="27">SUM(R5+W5)</f>
        <v>400</v>
      </c>
      <c r="AD5" s="13">
        <f t="shared" ref="AD5:AD19" ca="1" si="28">SUM(X5:AB5)</f>
        <v>1971</v>
      </c>
    </row>
    <row r="6" spans="1:30" x14ac:dyDescent="0.3">
      <c r="A6" t="s">
        <v>4</v>
      </c>
      <c r="B6" t="s">
        <v>20</v>
      </c>
      <c r="C6" s="2">
        <v>22.1</v>
      </c>
      <c r="D6" s="6">
        <v>49</v>
      </c>
      <c r="E6" s="6">
        <v>33</v>
      </c>
      <c r="F6" s="6">
        <v>33</v>
      </c>
      <c r="G6" s="6">
        <f t="shared" ref="G6:H19" ca="1" si="29">RANDBETWEEN(30,50)</f>
        <v>38</v>
      </c>
      <c r="H6" s="6">
        <f t="shared" ca="1" si="29"/>
        <v>32</v>
      </c>
      <c r="I6" s="8">
        <f t="shared" si="5"/>
        <v>9</v>
      </c>
      <c r="J6" s="8">
        <f t="shared" si="6"/>
        <v>0</v>
      </c>
      <c r="K6" s="8">
        <f t="shared" si="7"/>
        <v>0</v>
      </c>
      <c r="L6" s="8">
        <f t="shared" ca="1" si="8"/>
        <v>0</v>
      </c>
      <c r="M6" s="8">
        <f t="shared" ca="1" si="9"/>
        <v>0</v>
      </c>
      <c r="N6" s="10">
        <f t="shared" si="10"/>
        <v>1082.9000000000001</v>
      </c>
      <c r="O6" s="10">
        <f t="shared" si="14"/>
        <v>729.30000000000007</v>
      </c>
      <c r="P6" s="10">
        <f t="shared" si="15"/>
        <v>729.30000000000007</v>
      </c>
      <c r="Q6" s="10">
        <f t="shared" ca="1" si="16"/>
        <v>839.80000000000007</v>
      </c>
      <c r="R6" s="10">
        <f t="shared" ca="1" si="17"/>
        <v>707.2</v>
      </c>
      <c r="S6" s="11">
        <f t="shared" si="18"/>
        <v>99.45</v>
      </c>
      <c r="T6" s="11">
        <f t="shared" si="19"/>
        <v>0</v>
      </c>
      <c r="U6" s="11">
        <f t="shared" si="20"/>
        <v>0</v>
      </c>
      <c r="V6" s="11">
        <f t="shared" ca="1" si="21"/>
        <v>0</v>
      </c>
      <c r="W6" s="11">
        <f t="shared" ca="1" si="22"/>
        <v>0</v>
      </c>
      <c r="X6" s="12">
        <f t="shared" si="23"/>
        <v>1182.3500000000001</v>
      </c>
      <c r="Y6" s="12">
        <f t="shared" si="24"/>
        <v>729.30000000000007</v>
      </c>
      <c r="Z6" s="12">
        <f t="shared" si="25"/>
        <v>729.30000000000007</v>
      </c>
      <c r="AA6" s="12">
        <f t="shared" ca="1" si="26"/>
        <v>839.80000000000007</v>
      </c>
      <c r="AB6" s="12">
        <f t="shared" ca="1" si="27"/>
        <v>707.2</v>
      </c>
      <c r="AD6" s="13">
        <f t="shared" ca="1" si="28"/>
        <v>4187.9500000000007</v>
      </c>
    </row>
    <row r="7" spans="1:30" x14ac:dyDescent="0.3">
      <c r="A7" t="s">
        <v>5</v>
      </c>
      <c r="B7" t="s">
        <v>21</v>
      </c>
      <c r="C7" s="2">
        <v>19.100000000000001</v>
      </c>
      <c r="D7" s="6">
        <v>41</v>
      </c>
      <c r="E7" s="6">
        <v>47</v>
      </c>
      <c r="F7" s="6">
        <v>47</v>
      </c>
      <c r="G7" s="6">
        <f t="shared" ca="1" si="29"/>
        <v>50</v>
      </c>
      <c r="H7" s="6">
        <f t="shared" ca="1" si="29"/>
        <v>34</v>
      </c>
      <c r="I7" s="8">
        <f t="shared" si="5"/>
        <v>1</v>
      </c>
      <c r="J7" s="8">
        <f t="shared" si="6"/>
        <v>7</v>
      </c>
      <c r="K7" s="8">
        <f t="shared" si="7"/>
        <v>7</v>
      </c>
      <c r="L7" s="8">
        <f t="shared" ca="1" si="8"/>
        <v>10</v>
      </c>
      <c r="M7" s="8">
        <f t="shared" ca="1" si="9"/>
        <v>0</v>
      </c>
      <c r="N7" s="10">
        <f t="shared" si="10"/>
        <v>783.1</v>
      </c>
      <c r="O7" s="10">
        <f t="shared" si="14"/>
        <v>897.7</v>
      </c>
      <c r="P7" s="10">
        <f t="shared" si="15"/>
        <v>897.7</v>
      </c>
      <c r="Q7" s="10">
        <f t="shared" ca="1" si="16"/>
        <v>955.00000000000011</v>
      </c>
      <c r="R7" s="10">
        <f t="shared" ca="1" si="17"/>
        <v>649.40000000000009</v>
      </c>
      <c r="S7" s="11">
        <f t="shared" si="18"/>
        <v>9.5500000000000007</v>
      </c>
      <c r="T7" s="11">
        <f t="shared" si="19"/>
        <v>143.5</v>
      </c>
      <c r="U7" s="11">
        <f t="shared" si="20"/>
        <v>164.5</v>
      </c>
      <c r="V7" s="11">
        <f t="shared" ca="1" si="21"/>
        <v>235</v>
      </c>
      <c r="W7" s="11">
        <f t="shared" ca="1" si="22"/>
        <v>0</v>
      </c>
      <c r="X7" s="12">
        <f t="shared" si="23"/>
        <v>792.65</v>
      </c>
      <c r="Y7" s="12">
        <f t="shared" si="24"/>
        <v>1041.2</v>
      </c>
      <c r="Z7" s="12">
        <f t="shared" si="25"/>
        <v>1062.2</v>
      </c>
      <c r="AA7" s="12">
        <f t="shared" ca="1" si="26"/>
        <v>1190</v>
      </c>
      <c r="AB7" s="12">
        <f t="shared" ca="1" si="27"/>
        <v>649.40000000000009</v>
      </c>
      <c r="AD7" s="13">
        <f t="shared" ca="1" si="28"/>
        <v>4735.4500000000007</v>
      </c>
    </row>
    <row r="8" spans="1:30" x14ac:dyDescent="0.3">
      <c r="A8" t="s">
        <v>6</v>
      </c>
      <c r="B8" t="s">
        <v>22</v>
      </c>
      <c r="C8" s="2">
        <v>6.9</v>
      </c>
      <c r="D8" s="6">
        <v>39</v>
      </c>
      <c r="E8" s="6">
        <v>42</v>
      </c>
      <c r="F8" s="6">
        <v>42</v>
      </c>
      <c r="G8" s="6">
        <f t="shared" ca="1" si="29"/>
        <v>30</v>
      </c>
      <c r="H8" s="6">
        <f t="shared" ca="1" si="29"/>
        <v>38</v>
      </c>
      <c r="I8" s="8">
        <f t="shared" si="5"/>
        <v>0</v>
      </c>
      <c r="J8" s="8">
        <f t="shared" si="6"/>
        <v>2</v>
      </c>
      <c r="K8" s="8">
        <f t="shared" si="7"/>
        <v>2</v>
      </c>
      <c r="L8" s="8">
        <f t="shared" ca="1" si="8"/>
        <v>0</v>
      </c>
      <c r="M8" s="8">
        <f t="shared" ca="1" si="9"/>
        <v>0</v>
      </c>
      <c r="N8" s="10">
        <f t="shared" si="10"/>
        <v>269.10000000000002</v>
      </c>
      <c r="O8" s="10">
        <f t="shared" si="14"/>
        <v>289.8</v>
      </c>
      <c r="P8" s="10">
        <f t="shared" si="15"/>
        <v>289.8</v>
      </c>
      <c r="Q8" s="10">
        <f t="shared" ca="1" si="16"/>
        <v>207</v>
      </c>
      <c r="R8" s="10">
        <f t="shared" ca="1" si="17"/>
        <v>262.2</v>
      </c>
      <c r="S8" s="11">
        <f t="shared" si="18"/>
        <v>0</v>
      </c>
      <c r="T8" s="11">
        <f t="shared" si="19"/>
        <v>39</v>
      </c>
      <c r="U8" s="11">
        <f t="shared" si="20"/>
        <v>42</v>
      </c>
      <c r="V8" s="11">
        <f t="shared" ca="1" si="21"/>
        <v>0</v>
      </c>
      <c r="W8" s="11">
        <f t="shared" ca="1" si="22"/>
        <v>0</v>
      </c>
      <c r="X8" s="12">
        <f t="shared" si="23"/>
        <v>269.10000000000002</v>
      </c>
      <c r="Y8" s="12">
        <f t="shared" si="24"/>
        <v>328.8</v>
      </c>
      <c r="Z8" s="12">
        <f t="shared" si="25"/>
        <v>331.8</v>
      </c>
      <c r="AA8" s="12">
        <f t="shared" ca="1" si="26"/>
        <v>207</v>
      </c>
      <c r="AB8" s="12">
        <f t="shared" ca="1" si="27"/>
        <v>262.2</v>
      </c>
      <c r="AD8" s="13">
        <f t="shared" ca="1" si="28"/>
        <v>1398.9</v>
      </c>
    </row>
    <row r="9" spans="1:30" x14ac:dyDescent="0.3">
      <c r="A9" t="s">
        <v>7</v>
      </c>
      <c r="B9" t="s">
        <v>23</v>
      </c>
      <c r="C9" s="2">
        <v>14.2</v>
      </c>
      <c r="D9" s="6">
        <v>44</v>
      </c>
      <c r="E9" s="6">
        <v>42</v>
      </c>
      <c r="F9" s="6">
        <v>42</v>
      </c>
      <c r="G9" s="6">
        <f t="shared" ca="1" si="29"/>
        <v>36</v>
      </c>
      <c r="H9" s="6">
        <f t="shared" ca="1" si="29"/>
        <v>44</v>
      </c>
      <c r="I9" s="8">
        <f t="shared" si="5"/>
        <v>4</v>
      </c>
      <c r="J9" s="8">
        <f t="shared" si="6"/>
        <v>2</v>
      </c>
      <c r="K9" s="8">
        <f t="shared" si="7"/>
        <v>2</v>
      </c>
      <c r="L9" s="8">
        <f t="shared" ca="1" si="8"/>
        <v>0</v>
      </c>
      <c r="M9" s="8">
        <f t="shared" ca="1" si="9"/>
        <v>4</v>
      </c>
      <c r="N9" s="10">
        <f t="shared" si="10"/>
        <v>624.79999999999995</v>
      </c>
      <c r="O9" s="10">
        <f t="shared" si="14"/>
        <v>596.4</v>
      </c>
      <c r="P9" s="10">
        <f t="shared" si="15"/>
        <v>596.4</v>
      </c>
      <c r="Q9" s="10">
        <f t="shared" ca="1" si="16"/>
        <v>511.2</v>
      </c>
      <c r="R9" s="10">
        <f t="shared" ca="1" si="17"/>
        <v>624.79999999999995</v>
      </c>
      <c r="S9" s="11">
        <f t="shared" si="18"/>
        <v>28.4</v>
      </c>
      <c r="T9" s="11">
        <f t="shared" si="19"/>
        <v>44</v>
      </c>
      <c r="U9" s="11">
        <f t="shared" si="20"/>
        <v>42</v>
      </c>
      <c r="V9" s="11">
        <f t="shared" ca="1" si="21"/>
        <v>0</v>
      </c>
      <c r="W9" s="11">
        <f t="shared" ca="1" si="22"/>
        <v>72</v>
      </c>
      <c r="X9" s="12">
        <f t="shared" si="23"/>
        <v>653.19999999999993</v>
      </c>
      <c r="Y9" s="12">
        <f t="shared" si="24"/>
        <v>640.4</v>
      </c>
      <c r="Z9" s="12">
        <f t="shared" si="25"/>
        <v>638.4</v>
      </c>
      <c r="AA9" s="12">
        <f t="shared" ca="1" si="26"/>
        <v>511.2</v>
      </c>
      <c r="AB9" s="12">
        <f t="shared" ca="1" si="27"/>
        <v>696.8</v>
      </c>
      <c r="AD9" s="13">
        <f t="shared" ca="1" si="28"/>
        <v>3140</v>
      </c>
    </row>
    <row r="10" spans="1:30" x14ac:dyDescent="0.3">
      <c r="A10" t="s">
        <v>8</v>
      </c>
      <c r="B10" t="s">
        <v>24</v>
      </c>
      <c r="C10" s="2">
        <v>18</v>
      </c>
      <c r="D10" s="6">
        <v>55</v>
      </c>
      <c r="E10" s="6">
        <v>45</v>
      </c>
      <c r="F10" s="6">
        <v>42</v>
      </c>
      <c r="G10" s="6">
        <f t="shared" ca="1" si="29"/>
        <v>39</v>
      </c>
      <c r="H10" s="6">
        <f t="shared" ca="1" si="29"/>
        <v>49</v>
      </c>
      <c r="I10" s="8">
        <f t="shared" si="5"/>
        <v>15</v>
      </c>
      <c r="J10" s="8">
        <f t="shared" si="6"/>
        <v>5</v>
      </c>
      <c r="K10" s="8">
        <f t="shared" si="7"/>
        <v>2</v>
      </c>
      <c r="L10" s="8">
        <f t="shared" ca="1" si="8"/>
        <v>0</v>
      </c>
      <c r="M10" s="8">
        <f t="shared" ca="1" si="9"/>
        <v>9</v>
      </c>
      <c r="N10" s="10">
        <f t="shared" si="10"/>
        <v>990</v>
      </c>
      <c r="O10" s="10">
        <f t="shared" si="14"/>
        <v>810</v>
      </c>
      <c r="P10" s="10">
        <f t="shared" si="15"/>
        <v>756</v>
      </c>
      <c r="Q10" s="10">
        <f t="shared" ca="1" si="16"/>
        <v>702</v>
      </c>
      <c r="R10" s="10">
        <f t="shared" ca="1" si="17"/>
        <v>882</v>
      </c>
      <c r="S10" s="11">
        <f t="shared" si="18"/>
        <v>135</v>
      </c>
      <c r="T10" s="11">
        <f t="shared" si="19"/>
        <v>137.5</v>
      </c>
      <c r="U10" s="11">
        <f t="shared" si="20"/>
        <v>45</v>
      </c>
      <c r="V10" s="11">
        <f t="shared" ca="1" si="21"/>
        <v>0</v>
      </c>
      <c r="W10" s="11">
        <f t="shared" ca="1" si="22"/>
        <v>175.5</v>
      </c>
      <c r="X10" s="12">
        <f t="shared" si="23"/>
        <v>1125</v>
      </c>
      <c r="Y10" s="12">
        <f t="shared" si="24"/>
        <v>947.5</v>
      </c>
      <c r="Z10" s="12">
        <f t="shared" si="25"/>
        <v>801</v>
      </c>
      <c r="AA10" s="12">
        <f t="shared" ca="1" si="26"/>
        <v>702</v>
      </c>
      <c r="AB10" s="12">
        <f t="shared" ca="1" si="27"/>
        <v>1057.5</v>
      </c>
      <c r="AD10" s="13">
        <f t="shared" ca="1" si="28"/>
        <v>4633</v>
      </c>
    </row>
    <row r="11" spans="1:30" x14ac:dyDescent="0.3">
      <c r="A11" t="s">
        <v>9</v>
      </c>
      <c r="B11" t="s">
        <v>25</v>
      </c>
      <c r="C11" s="2">
        <v>17.5</v>
      </c>
      <c r="D11" s="6">
        <v>33</v>
      </c>
      <c r="E11" s="6">
        <v>54</v>
      </c>
      <c r="F11" s="6">
        <v>45</v>
      </c>
      <c r="G11" s="6">
        <f t="shared" ca="1" si="29"/>
        <v>44</v>
      </c>
      <c r="H11" s="6">
        <f t="shared" ca="1" si="29"/>
        <v>33</v>
      </c>
      <c r="I11" s="8">
        <f t="shared" si="5"/>
        <v>0</v>
      </c>
      <c r="J11" s="8">
        <f t="shared" si="6"/>
        <v>14</v>
      </c>
      <c r="K11" s="8">
        <f t="shared" si="7"/>
        <v>5</v>
      </c>
      <c r="L11" s="8">
        <f t="shared" ca="1" si="8"/>
        <v>4</v>
      </c>
      <c r="M11" s="8">
        <f t="shared" ca="1" si="9"/>
        <v>0</v>
      </c>
      <c r="N11" s="10">
        <f t="shared" si="10"/>
        <v>577.5</v>
      </c>
      <c r="O11" s="10">
        <f t="shared" si="14"/>
        <v>945</v>
      </c>
      <c r="P11" s="10">
        <f t="shared" si="15"/>
        <v>787.5</v>
      </c>
      <c r="Q11" s="10">
        <f t="shared" ca="1" si="16"/>
        <v>770</v>
      </c>
      <c r="R11" s="10">
        <f t="shared" ca="1" si="17"/>
        <v>577.5</v>
      </c>
      <c r="S11" s="11">
        <f t="shared" si="18"/>
        <v>0</v>
      </c>
      <c r="T11" s="11">
        <f t="shared" si="19"/>
        <v>231</v>
      </c>
      <c r="U11" s="11">
        <f t="shared" si="20"/>
        <v>135</v>
      </c>
      <c r="V11" s="11">
        <f t="shared" ca="1" si="21"/>
        <v>90</v>
      </c>
      <c r="W11" s="11">
        <f t="shared" ca="1" si="22"/>
        <v>0</v>
      </c>
      <c r="X11" s="12">
        <f t="shared" si="23"/>
        <v>577.5</v>
      </c>
      <c r="Y11" s="12">
        <f t="shared" si="24"/>
        <v>1176</v>
      </c>
      <c r="Z11" s="12">
        <f t="shared" si="25"/>
        <v>922.5</v>
      </c>
      <c r="AA11" s="12">
        <f t="shared" ca="1" si="26"/>
        <v>860</v>
      </c>
      <c r="AB11" s="12">
        <f t="shared" ca="1" si="27"/>
        <v>577.5</v>
      </c>
      <c r="AD11" s="13">
        <f t="shared" ca="1" si="28"/>
        <v>4113.5</v>
      </c>
    </row>
    <row r="12" spans="1:30" x14ac:dyDescent="0.3">
      <c r="A12" t="s">
        <v>10</v>
      </c>
      <c r="B12" t="s">
        <v>26</v>
      </c>
      <c r="C12" s="2">
        <v>13.9</v>
      </c>
      <c r="D12" s="6">
        <v>29</v>
      </c>
      <c r="E12" s="6">
        <v>42</v>
      </c>
      <c r="F12" s="6">
        <v>54</v>
      </c>
      <c r="G12" s="6">
        <f t="shared" ca="1" si="29"/>
        <v>37</v>
      </c>
      <c r="H12" s="6">
        <f t="shared" ca="1" si="29"/>
        <v>41</v>
      </c>
      <c r="I12" s="8">
        <f t="shared" si="5"/>
        <v>0</v>
      </c>
      <c r="J12" s="8">
        <f t="shared" si="6"/>
        <v>2</v>
      </c>
      <c r="K12" s="8">
        <f t="shared" si="7"/>
        <v>14</v>
      </c>
      <c r="L12" s="8">
        <f t="shared" ca="1" si="8"/>
        <v>0</v>
      </c>
      <c r="M12" s="8">
        <f t="shared" ca="1" si="9"/>
        <v>1</v>
      </c>
      <c r="N12" s="10">
        <f t="shared" si="10"/>
        <v>403.1</v>
      </c>
      <c r="O12" s="10">
        <f t="shared" si="14"/>
        <v>583.80000000000007</v>
      </c>
      <c r="P12" s="10">
        <f t="shared" si="15"/>
        <v>750.6</v>
      </c>
      <c r="Q12" s="10">
        <f t="shared" ca="1" si="16"/>
        <v>514.30000000000007</v>
      </c>
      <c r="R12" s="10">
        <f t="shared" ca="1" si="17"/>
        <v>569.9</v>
      </c>
      <c r="S12" s="11">
        <f t="shared" si="18"/>
        <v>0</v>
      </c>
      <c r="T12" s="11">
        <f t="shared" si="19"/>
        <v>29</v>
      </c>
      <c r="U12" s="11">
        <f t="shared" si="20"/>
        <v>294</v>
      </c>
      <c r="V12" s="11">
        <f t="shared" ca="1" si="21"/>
        <v>0</v>
      </c>
      <c r="W12" s="11">
        <f t="shared" ca="1" si="22"/>
        <v>18.5</v>
      </c>
      <c r="X12" s="12">
        <f t="shared" si="23"/>
        <v>403.1</v>
      </c>
      <c r="Y12" s="12">
        <f t="shared" si="24"/>
        <v>612.80000000000007</v>
      </c>
      <c r="Z12" s="12">
        <f t="shared" si="25"/>
        <v>1044.5999999999999</v>
      </c>
      <c r="AA12" s="12">
        <f t="shared" ca="1" si="26"/>
        <v>514.30000000000007</v>
      </c>
      <c r="AB12" s="12">
        <f t="shared" ca="1" si="27"/>
        <v>588.4</v>
      </c>
      <c r="AD12" s="13">
        <f t="shared" ca="1" si="28"/>
        <v>3163.2000000000003</v>
      </c>
    </row>
    <row r="13" spans="1:30" x14ac:dyDescent="0.3">
      <c r="A13" t="s">
        <v>11</v>
      </c>
      <c r="B13" t="s">
        <v>27</v>
      </c>
      <c r="C13" s="2">
        <v>11.2</v>
      </c>
      <c r="D13" s="6">
        <v>40</v>
      </c>
      <c r="E13" s="6">
        <v>42</v>
      </c>
      <c r="F13" s="6">
        <v>42</v>
      </c>
      <c r="G13" s="6">
        <f t="shared" ca="1" si="29"/>
        <v>37</v>
      </c>
      <c r="H13" s="6">
        <f t="shared" ca="1" si="29"/>
        <v>32</v>
      </c>
      <c r="I13" s="8">
        <f t="shared" si="5"/>
        <v>0</v>
      </c>
      <c r="J13" s="8">
        <f t="shared" si="6"/>
        <v>2</v>
      </c>
      <c r="K13" s="8">
        <f t="shared" si="7"/>
        <v>2</v>
      </c>
      <c r="L13" s="8">
        <f t="shared" ca="1" si="8"/>
        <v>0</v>
      </c>
      <c r="M13" s="8">
        <f t="shared" ca="1" si="9"/>
        <v>0</v>
      </c>
      <c r="N13" s="10">
        <f t="shared" si="10"/>
        <v>448</v>
      </c>
      <c r="O13" s="10">
        <f t="shared" si="14"/>
        <v>470.4</v>
      </c>
      <c r="P13" s="10">
        <f t="shared" si="15"/>
        <v>470.4</v>
      </c>
      <c r="Q13" s="10">
        <f t="shared" ca="1" si="16"/>
        <v>414.4</v>
      </c>
      <c r="R13" s="10">
        <f t="shared" ca="1" si="17"/>
        <v>358.4</v>
      </c>
      <c r="S13" s="11">
        <f t="shared" si="18"/>
        <v>0</v>
      </c>
      <c r="T13" s="11">
        <f t="shared" si="19"/>
        <v>40</v>
      </c>
      <c r="U13" s="11">
        <f t="shared" si="20"/>
        <v>42</v>
      </c>
      <c r="V13" s="11">
        <f t="shared" ca="1" si="21"/>
        <v>0</v>
      </c>
      <c r="W13" s="11">
        <f t="shared" ca="1" si="22"/>
        <v>0</v>
      </c>
      <c r="X13" s="12">
        <f t="shared" si="23"/>
        <v>448</v>
      </c>
      <c r="Y13" s="12">
        <f t="shared" si="24"/>
        <v>510.4</v>
      </c>
      <c r="Z13" s="12">
        <f t="shared" si="25"/>
        <v>512.4</v>
      </c>
      <c r="AA13" s="12">
        <f t="shared" ca="1" si="26"/>
        <v>414.4</v>
      </c>
      <c r="AB13" s="12">
        <f t="shared" ca="1" si="27"/>
        <v>358.4</v>
      </c>
      <c r="AD13" s="13">
        <f t="shared" ca="1" si="28"/>
        <v>2243.6</v>
      </c>
    </row>
    <row r="14" spans="1:30" x14ac:dyDescent="0.3">
      <c r="A14" t="s">
        <v>12</v>
      </c>
      <c r="B14" t="s">
        <v>28</v>
      </c>
      <c r="C14" s="2">
        <v>10.1</v>
      </c>
      <c r="D14" s="6">
        <v>40</v>
      </c>
      <c r="E14" s="6">
        <v>42</v>
      </c>
      <c r="F14" s="6">
        <v>42</v>
      </c>
      <c r="G14" s="6">
        <f t="shared" ca="1" si="29"/>
        <v>44</v>
      </c>
      <c r="H14" s="6">
        <f t="shared" ca="1" si="29"/>
        <v>43</v>
      </c>
      <c r="I14" s="8">
        <f t="shared" si="5"/>
        <v>0</v>
      </c>
      <c r="J14" s="8">
        <f t="shared" si="6"/>
        <v>2</v>
      </c>
      <c r="K14" s="8">
        <f t="shared" si="7"/>
        <v>2</v>
      </c>
      <c r="L14" s="8">
        <f t="shared" ca="1" si="8"/>
        <v>4</v>
      </c>
      <c r="M14" s="8">
        <f t="shared" ca="1" si="9"/>
        <v>3</v>
      </c>
      <c r="N14" s="10">
        <f t="shared" si="10"/>
        <v>404</v>
      </c>
      <c r="O14" s="10">
        <f t="shared" si="14"/>
        <v>424.2</v>
      </c>
      <c r="P14" s="10">
        <f t="shared" si="15"/>
        <v>424.2</v>
      </c>
      <c r="Q14" s="10">
        <f t="shared" ca="1" si="16"/>
        <v>444.4</v>
      </c>
      <c r="R14" s="10">
        <f t="shared" ca="1" si="17"/>
        <v>434.3</v>
      </c>
      <c r="S14" s="11">
        <f t="shared" si="18"/>
        <v>0</v>
      </c>
      <c r="T14" s="11">
        <f t="shared" si="19"/>
        <v>40</v>
      </c>
      <c r="U14" s="11">
        <f t="shared" si="20"/>
        <v>42</v>
      </c>
      <c r="V14" s="11">
        <f t="shared" ca="1" si="21"/>
        <v>84</v>
      </c>
      <c r="W14" s="11">
        <f t="shared" ca="1" si="22"/>
        <v>66</v>
      </c>
      <c r="X14" s="12">
        <f t="shared" si="23"/>
        <v>404</v>
      </c>
      <c r="Y14" s="12">
        <f t="shared" si="24"/>
        <v>464.2</v>
      </c>
      <c r="Z14" s="12">
        <f t="shared" si="25"/>
        <v>466.2</v>
      </c>
      <c r="AA14" s="12">
        <f t="shared" ca="1" si="26"/>
        <v>528.4</v>
      </c>
      <c r="AB14" s="12">
        <f t="shared" ca="1" si="27"/>
        <v>500.3</v>
      </c>
      <c r="AD14" s="13">
        <f t="shared" ca="1" si="28"/>
        <v>2363.1000000000004</v>
      </c>
    </row>
    <row r="15" spans="1:30" x14ac:dyDescent="0.3">
      <c r="A15" t="s">
        <v>13</v>
      </c>
      <c r="B15" t="s">
        <v>29</v>
      </c>
      <c r="C15" s="2">
        <v>9</v>
      </c>
      <c r="D15" s="6">
        <v>40</v>
      </c>
      <c r="E15" s="6">
        <v>41</v>
      </c>
      <c r="F15" s="6">
        <v>41</v>
      </c>
      <c r="G15" s="6">
        <f t="shared" ca="1" si="29"/>
        <v>35</v>
      </c>
      <c r="H15" s="6">
        <f t="shared" ca="1" si="29"/>
        <v>43</v>
      </c>
      <c r="I15" s="8">
        <f t="shared" si="5"/>
        <v>0</v>
      </c>
      <c r="J15" s="8">
        <f t="shared" si="6"/>
        <v>1</v>
      </c>
      <c r="K15" s="8">
        <f t="shared" si="7"/>
        <v>1</v>
      </c>
      <c r="L15" s="8">
        <f t="shared" ca="1" si="8"/>
        <v>0</v>
      </c>
      <c r="M15" s="8">
        <f t="shared" ca="1" si="9"/>
        <v>3</v>
      </c>
      <c r="N15" s="10">
        <f t="shared" si="10"/>
        <v>360</v>
      </c>
      <c r="O15" s="10">
        <f t="shared" si="14"/>
        <v>369</v>
      </c>
      <c r="P15" s="10">
        <f t="shared" si="15"/>
        <v>369</v>
      </c>
      <c r="Q15" s="10">
        <f t="shared" ca="1" si="16"/>
        <v>315</v>
      </c>
      <c r="R15" s="10">
        <f t="shared" ca="1" si="17"/>
        <v>387</v>
      </c>
      <c r="S15" s="11">
        <f t="shared" si="18"/>
        <v>0</v>
      </c>
      <c r="T15" s="11">
        <f t="shared" si="19"/>
        <v>20</v>
      </c>
      <c r="U15" s="11">
        <f t="shared" si="20"/>
        <v>20.5</v>
      </c>
      <c r="V15" s="11">
        <f t="shared" ca="1" si="21"/>
        <v>0</v>
      </c>
      <c r="W15" s="11">
        <f t="shared" ca="1" si="22"/>
        <v>52.5</v>
      </c>
      <c r="X15" s="12">
        <f t="shared" si="23"/>
        <v>360</v>
      </c>
      <c r="Y15" s="12">
        <f t="shared" si="24"/>
        <v>389</v>
      </c>
      <c r="Z15" s="12">
        <f t="shared" si="25"/>
        <v>389.5</v>
      </c>
      <c r="AA15" s="12">
        <f t="shared" ca="1" si="26"/>
        <v>315</v>
      </c>
      <c r="AB15" s="12">
        <f t="shared" ca="1" si="27"/>
        <v>439.5</v>
      </c>
      <c r="AD15" s="13">
        <f t="shared" ca="1" si="28"/>
        <v>1893</v>
      </c>
    </row>
    <row r="16" spans="1:30" x14ac:dyDescent="0.3">
      <c r="A16" t="s">
        <v>14</v>
      </c>
      <c r="B16" t="s">
        <v>30</v>
      </c>
      <c r="C16" s="2">
        <v>8.44</v>
      </c>
      <c r="D16" s="6">
        <v>42</v>
      </c>
      <c r="E16" s="6">
        <v>39</v>
      </c>
      <c r="F16" s="6">
        <v>39</v>
      </c>
      <c r="G16" s="6">
        <f t="shared" ca="1" si="29"/>
        <v>50</v>
      </c>
      <c r="H16" s="6">
        <f t="shared" ca="1" si="29"/>
        <v>49</v>
      </c>
      <c r="I16" s="8">
        <f t="shared" si="5"/>
        <v>2</v>
      </c>
      <c r="J16" s="8">
        <f t="shared" si="6"/>
        <v>0</v>
      </c>
      <c r="K16" s="8">
        <f t="shared" si="7"/>
        <v>0</v>
      </c>
      <c r="L16" s="8">
        <f t="shared" ca="1" si="8"/>
        <v>10</v>
      </c>
      <c r="M16" s="8">
        <f t="shared" ca="1" si="9"/>
        <v>9</v>
      </c>
      <c r="N16" s="10">
        <f t="shared" si="10"/>
        <v>354.47999999999996</v>
      </c>
      <c r="O16" s="10">
        <f t="shared" si="14"/>
        <v>329.15999999999997</v>
      </c>
      <c r="P16" s="10">
        <f t="shared" si="15"/>
        <v>329.15999999999997</v>
      </c>
      <c r="Q16" s="10">
        <f t="shared" ca="1" si="16"/>
        <v>422</v>
      </c>
      <c r="R16" s="10">
        <f t="shared" ca="1" si="17"/>
        <v>413.56</v>
      </c>
      <c r="S16" s="11">
        <f t="shared" si="18"/>
        <v>8.44</v>
      </c>
      <c r="T16" s="11">
        <f t="shared" si="19"/>
        <v>0</v>
      </c>
      <c r="U16" s="11">
        <f t="shared" si="20"/>
        <v>0</v>
      </c>
      <c r="V16" s="11">
        <f t="shared" ca="1" si="21"/>
        <v>195</v>
      </c>
      <c r="W16" s="11">
        <f t="shared" ca="1" si="22"/>
        <v>225</v>
      </c>
      <c r="X16" s="12">
        <f t="shared" si="23"/>
        <v>362.91999999999996</v>
      </c>
      <c r="Y16" s="12">
        <f t="shared" si="24"/>
        <v>329.15999999999997</v>
      </c>
      <c r="Z16" s="12">
        <f t="shared" si="25"/>
        <v>329.15999999999997</v>
      </c>
      <c r="AA16" s="12">
        <f t="shared" ca="1" si="26"/>
        <v>617</v>
      </c>
      <c r="AB16" s="12">
        <f t="shared" ca="1" si="27"/>
        <v>638.55999999999995</v>
      </c>
      <c r="AD16" s="13">
        <f t="shared" ca="1" si="28"/>
        <v>2276.7999999999997</v>
      </c>
    </row>
    <row r="17" spans="1:30" x14ac:dyDescent="0.3">
      <c r="A17" t="s">
        <v>15</v>
      </c>
      <c r="B17" t="s">
        <v>31</v>
      </c>
      <c r="C17" s="2">
        <v>14.2</v>
      </c>
      <c r="D17" s="6">
        <v>40</v>
      </c>
      <c r="E17" s="6">
        <v>39</v>
      </c>
      <c r="F17" s="6">
        <v>39</v>
      </c>
      <c r="G17" s="6">
        <f t="shared" ca="1" si="29"/>
        <v>41</v>
      </c>
      <c r="H17" s="6">
        <f t="shared" ca="1" si="29"/>
        <v>30</v>
      </c>
      <c r="I17" s="8">
        <f t="shared" si="5"/>
        <v>0</v>
      </c>
      <c r="J17" s="8">
        <f t="shared" si="6"/>
        <v>0</v>
      </c>
      <c r="K17" s="8">
        <f t="shared" si="7"/>
        <v>0</v>
      </c>
      <c r="L17" s="8">
        <f t="shared" ca="1" si="8"/>
        <v>1</v>
      </c>
      <c r="M17" s="8">
        <f t="shared" ca="1" si="9"/>
        <v>0</v>
      </c>
      <c r="N17" s="10">
        <f t="shared" si="10"/>
        <v>568</v>
      </c>
      <c r="O17" s="10">
        <f t="shared" si="14"/>
        <v>553.79999999999995</v>
      </c>
      <c r="P17" s="10">
        <f t="shared" si="15"/>
        <v>553.79999999999995</v>
      </c>
      <c r="Q17" s="10">
        <f t="shared" ca="1" si="16"/>
        <v>582.19999999999993</v>
      </c>
      <c r="R17" s="10">
        <f t="shared" ca="1" si="17"/>
        <v>426</v>
      </c>
      <c r="S17" s="11">
        <f t="shared" si="18"/>
        <v>0</v>
      </c>
      <c r="T17" s="11">
        <f t="shared" si="19"/>
        <v>0</v>
      </c>
      <c r="U17" s="11">
        <f t="shared" si="20"/>
        <v>0</v>
      </c>
      <c r="V17" s="11">
        <f t="shared" ca="1" si="21"/>
        <v>19.5</v>
      </c>
      <c r="W17" s="11">
        <f t="shared" ca="1" si="22"/>
        <v>0</v>
      </c>
      <c r="X17" s="12">
        <f t="shared" si="23"/>
        <v>568</v>
      </c>
      <c r="Y17" s="12">
        <f t="shared" si="24"/>
        <v>553.79999999999995</v>
      </c>
      <c r="Z17" s="12">
        <f t="shared" si="25"/>
        <v>553.79999999999995</v>
      </c>
      <c r="AA17" s="12">
        <f t="shared" ca="1" si="26"/>
        <v>601.69999999999993</v>
      </c>
      <c r="AB17" s="12">
        <f t="shared" ca="1" si="27"/>
        <v>426</v>
      </c>
      <c r="AD17" s="13">
        <f t="shared" ca="1" si="28"/>
        <v>2703.2999999999997</v>
      </c>
    </row>
    <row r="18" spans="1:30" x14ac:dyDescent="0.3">
      <c r="A18" t="s">
        <v>16</v>
      </c>
      <c r="B18" t="s">
        <v>32</v>
      </c>
      <c r="C18" s="2">
        <v>45</v>
      </c>
      <c r="D18" s="6">
        <v>41</v>
      </c>
      <c r="E18" s="6">
        <v>39</v>
      </c>
      <c r="F18" s="6">
        <v>40</v>
      </c>
      <c r="G18" s="6">
        <f t="shared" ca="1" si="29"/>
        <v>37</v>
      </c>
      <c r="H18" s="6">
        <f t="shared" ca="1" si="29"/>
        <v>38</v>
      </c>
      <c r="I18" s="8">
        <f t="shared" si="5"/>
        <v>1</v>
      </c>
      <c r="J18" s="8">
        <f t="shared" si="6"/>
        <v>0</v>
      </c>
      <c r="K18" s="8">
        <f t="shared" si="7"/>
        <v>0</v>
      </c>
      <c r="L18" s="8">
        <f t="shared" ca="1" si="8"/>
        <v>0</v>
      </c>
      <c r="M18" s="8">
        <f t="shared" ca="1" si="9"/>
        <v>0</v>
      </c>
      <c r="N18" s="10">
        <f t="shared" si="10"/>
        <v>1845</v>
      </c>
      <c r="O18" s="10">
        <f t="shared" si="14"/>
        <v>1755</v>
      </c>
      <c r="P18" s="10">
        <f t="shared" si="15"/>
        <v>1800</v>
      </c>
      <c r="Q18" s="10">
        <f t="shared" ca="1" si="16"/>
        <v>1665</v>
      </c>
      <c r="R18" s="10">
        <f t="shared" ca="1" si="17"/>
        <v>1710</v>
      </c>
      <c r="S18" s="11">
        <f t="shared" si="18"/>
        <v>22.5</v>
      </c>
      <c r="T18" s="11">
        <f t="shared" si="19"/>
        <v>0</v>
      </c>
      <c r="U18" s="11">
        <f t="shared" si="20"/>
        <v>0</v>
      </c>
      <c r="V18" s="11">
        <f t="shared" ca="1" si="21"/>
        <v>0</v>
      </c>
      <c r="W18" s="11">
        <f t="shared" ca="1" si="22"/>
        <v>0</v>
      </c>
      <c r="X18" s="12">
        <f t="shared" si="23"/>
        <v>1867.5</v>
      </c>
      <c r="Y18" s="12">
        <f t="shared" si="24"/>
        <v>1755</v>
      </c>
      <c r="Z18" s="12">
        <f t="shared" si="25"/>
        <v>1800</v>
      </c>
      <c r="AA18" s="12">
        <f t="shared" ca="1" si="26"/>
        <v>1665</v>
      </c>
      <c r="AB18" s="12">
        <f t="shared" ca="1" si="27"/>
        <v>1710</v>
      </c>
      <c r="AD18" s="13">
        <f t="shared" ca="1" si="28"/>
        <v>8797.5</v>
      </c>
    </row>
    <row r="19" spans="1:30" x14ac:dyDescent="0.3">
      <c r="A19" t="s">
        <v>17</v>
      </c>
      <c r="B19" t="s">
        <v>33</v>
      </c>
      <c r="C19" s="2">
        <v>30</v>
      </c>
      <c r="D19" s="6">
        <v>39</v>
      </c>
      <c r="E19" s="6">
        <v>40</v>
      </c>
      <c r="F19" s="6">
        <v>40</v>
      </c>
      <c r="G19" s="6">
        <f t="shared" ca="1" si="29"/>
        <v>33</v>
      </c>
      <c r="H19" s="6">
        <f t="shared" ca="1" si="29"/>
        <v>46</v>
      </c>
      <c r="I19" s="8">
        <f t="shared" si="5"/>
        <v>0</v>
      </c>
      <c r="J19" s="8">
        <f t="shared" si="6"/>
        <v>0</v>
      </c>
      <c r="K19" s="8">
        <f t="shared" si="7"/>
        <v>0</v>
      </c>
      <c r="L19" s="8">
        <f t="shared" ca="1" si="8"/>
        <v>0</v>
      </c>
      <c r="M19" s="8">
        <f t="shared" ca="1" si="9"/>
        <v>6</v>
      </c>
      <c r="N19" s="10">
        <f t="shared" si="10"/>
        <v>1170</v>
      </c>
      <c r="O19" s="10">
        <f t="shared" si="14"/>
        <v>1200</v>
      </c>
      <c r="P19" s="10">
        <f t="shared" si="15"/>
        <v>1200</v>
      </c>
      <c r="Q19" s="10">
        <f t="shared" ca="1" si="16"/>
        <v>990</v>
      </c>
      <c r="R19" s="10">
        <f t="shared" ca="1" si="17"/>
        <v>1380</v>
      </c>
      <c r="S19" s="11">
        <f t="shared" si="18"/>
        <v>0</v>
      </c>
      <c r="T19" s="11">
        <f t="shared" si="19"/>
        <v>0</v>
      </c>
      <c r="U19" s="11">
        <f t="shared" si="20"/>
        <v>0</v>
      </c>
      <c r="V19" s="11">
        <f t="shared" ca="1" si="21"/>
        <v>0</v>
      </c>
      <c r="W19" s="11">
        <f t="shared" ca="1" si="22"/>
        <v>99</v>
      </c>
      <c r="X19" s="12">
        <f t="shared" si="23"/>
        <v>1170</v>
      </c>
      <c r="Y19" s="12">
        <f t="shared" si="24"/>
        <v>1200</v>
      </c>
      <c r="Z19" s="12">
        <f t="shared" si="25"/>
        <v>1200</v>
      </c>
      <c r="AA19" s="12">
        <f t="shared" ca="1" si="26"/>
        <v>990</v>
      </c>
      <c r="AB19" s="12">
        <f t="shared" ca="1" si="27"/>
        <v>1479</v>
      </c>
      <c r="AD19" s="13">
        <f t="shared" ca="1" si="28"/>
        <v>6039</v>
      </c>
    </row>
    <row r="21" spans="1:30" x14ac:dyDescent="0.3">
      <c r="A21" t="s">
        <v>37</v>
      </c>
      <c r="C21" s="2">
        <f>MAX(C4:C19)</f>
        <v>45</v>
      </c>
      <c r="D21" s="3">
        <f>MAX(D4:D19)</f>
        <v>55</v>
      </c>
      <c r="E21" s="3"/>
      <c r="F21" s="3"/>
      <c r="G21" s="3"/>
      <c r="H21" s="3"/>
      <c r="I21" s="3"/>
      <c r="J21" s="3"/>
      <c r="K21" s="3"/>
      <c r="L21" s="3"/>
      <c r="M21" s="3"/>
      <c r="N21" s="4">
        <f>MAX(N4:N19)</f>
        <v>1845</v>
      </c>
      <c r="O21" s="4"/>
      <c r="P21" s="4"/>
      <c r="Q21" s="4"/>
      <c r="R21" s="4"/>
      <c r="S21" s="4">
        <f t="shared" ref="S21:AD21" si="30">MAX(S4:S19)</f>
        <v>135</v>
      </c>
      <c r="T21" s="4"/>
      <c r="U21" s="4"/>
      <c r="V21" s="4"/>
      <c r="W21" s="4"/>
      <c r="X21" s="4">
        <f t="shared" si="30"/>
        <v>1867.5</v>
      </c>
      <c r="Y21" s="4">
        <f t="shared" si="30"/>
        <v>1755</v>
      </c>
      <c r="Z21" s="4">
        <f t="shared" si="30"/>
        <v>1800</v>
      </c>
      <c r="AA21" s="4">
        <f t="shared" ca="1" si="30"/>
        <v>1665</v>
      </c>
      <c r="AB21" s="4">
        <f t="shared" ca="1" si="30"/>
        <v>1710</v>
      </c>
      <c r="AD21" s="4">
        <f t="shared" ca="1" si="30"/>
        <v>8797.5</v>
      </c>
    </row>
    <row r="22" spans="1:30" x14ac:dyDescent="0.3">
      <c r="A22" t="s">
        <v>38</v>
      </c>
      <c r="C22" s="2">
        <f>MIN(C4:C19)</f>
        <v>6.9</v>
      </c>
      <c r="D22" s="4">
        <f>MIN(D5:D19)</f>
        <v>29</v>
      </c>
      <c r="E22" s="4"/>
      <c r="F22" s="4"/>
      <c r="G22" s="4"/>
      <c r="H22" s="4"/>
      <c r="I22" s="4"/>
      <c r="J22" s="4"/>
      <c r="K22" s="4"/>
      <c r="L22" s="4"/>
      <c r="M22" s="4"/>
      <c r="N22" s="4">
        <f>MIN(N5:N19)</f>
        <v>269.10000000000002</v>
      </c>
      <c r="O22" s="4"/>
      <c r="P22" s="4"/>
      <c r="Q22" s="4"/>
      <c r="R22" s="4"/>
      <c r="S22" s="4">
        <f t="shared" ref="S22:AD22" si="31">MIN(S5:S19)</f>
        <v>0</v>
      </c>
      <c r="T22" s="4"/>
      <c r="U22" s="4"/>
      <c r="V22" s="4"/>
      <c r="W22" s="4"/>
      <c r="X22" s="4">
        <f t="shared" si="31"/>
        <v>269.10000000000002</v>
      </c>
      <c r="Y22" s="4">
        <f t="shared" si="31"/>
        <v>328.8</v>
      </c>
      <c r="Z22" s="4">
        <f t="shared" si="31"/>
        <v>329.15999999999997</v>
      </c>
      <c r="AA22" s="4">
        <f t="shared" ca="1" si="31"/>
        <v>207</v>
      </c>
      <c r="AB22" s="4">
        <f t="shared" ca="1" si="31"/>
        <v>262.2</v>
      </c>
      <c r="AD22" s="4">
        <f t="shared" ca="1" si="31"/>
        <v>1398.9</v>
      </c>
    </row>
    <row r="23" spans="1:30" x14ac:dyDescent="0.3">
      <c r="A23" t="s">
        <v>39</v>
      </c>
      <c r="C23" s="2">
        <f>AVERAGE(C4:C19)</f>
        <v>16.596249999999998</v>
      </c>
      <c r="D23" s="3">
        <f>AVERAGE(D4:D19)</f>
        <v>40.875</v>
      </c>
      <c r="E23" s="3"/>
      <c r="F23" s="3"/>
      <c r="G23" s="3"/>
      <c r="H23" s="3"/>
      <c r="I23" s="3"/>
      <c r="J23" s="3"/>
      <c r="K23" s="3"/>
      <c r="L23" s="3"/>
      <c r="M23" s="3"/>
      <c r="N23" s="4">
        <f t="shared" ref="N23:AD23" si="32">MAX(N6:N21)</f>
        <v>1845</v>
      </c>
      <c r="O23" s="4"/>
      <c r="P23" s="4"/>
      <c r="Q23" s="4"/>
      <c r="R23" s="4"/>
      <c r="S23" s="4">
        <f t="shared" si="32"/>
        <v>135</v>
      </c>
      <c r="T23" s="4"/>
      <c r="U23" s="4"/>
      <c r="V23" s="4"/>
      <c r="W23" s="4"/>
      <c r="X23" s="4">
        <f t="shared" si="32"/>
        <v>1867.5</v>
      </c>
      <c r="Y23" s="4">
        <f t="shared" si="32"/>
        <v>1755</v>
      </c>
      <c r="Z23" s="4">
        <f t="shared" si="32"/>
        <v>1800</v>
      </c>
      <c r="AA23" s="4">
        <f t="shared" ca="1" si="32"/>
        <v>1665</v>
      </c>
      <c r="AB23" s="4">
        <f t="shared" ca="1" si="32"/>
        <v>1710</v>
      </c>
      <c r="AD23" s="4">
        <f t="shared" ca="1" si="32"/>
        <v>8797.5</v>
      </c>
    </row>
    <row r="24" spans="1:30" x14ac:dyDescent="0.3">
      <c r="A24" t="s">
        <v>40</v>
      </c>
      <c r="D24">
        <f>SUM(D4:D19)</f>
        <v>654</v>
      </c>
      <c r="N24" s="4">
        <f>SUM(N4:N19)</f>
        <v>10935.98</v>
      </c>
      <c r="O24" s="4"/>
      <c r="P24" s="4"/>
      <c r="Q24" s="4"/>
      <c r="R24" s="4"/>
      <c r="S24" s="4">
        <f t="shared" ref="S24:AD24" si="33">SUM(S4:S19)</f>
        <v>313.33999999999997</v>
      </c>
      <c r="T24" s="4"/>
      <c r="U24" s="4"/>
      <c r="V24" s="4"/>
      <c r="W24" s="4"/>
      <c r="X24" s="4">
        <f t="shared" si="33"/>
        <v>11249.32</v>
      </c>
      <c r="Y24" s="4">
        <f t="shared" si="33"/>
        <v>11816.359999999999</v>
      </c>
      <c r="Z24" s="4">
        <f t="shared" si="33"/>
        <v>11800.960000000001</v>
      </c>
      <c r="AA24" s="4">
        <f t="shared" ca="1" si="33"/>
        <v>10742.8</v>
      </c>
      <c r="AB24" s="4">
        <f t="shared" ca="1" si="33"/>
        <v>11110.859999999999</v>
      </c>
      <c r="AD24" s="4">
        <f t="shared" ca="1" si="33"/>
        <v>56720.30000000001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2026-01-15T07:17:08Z</dcterms:created>
  <dcterms:modified xsi:type="dcterms:W3CDTF">2026-01-17T06:49:20Z</dcterms:modified>
</cp:coreProperties>
</file>