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3a5d0906a82a34/"/>
    </mc:Choice>
  </mc:AlternateContent>
  <xr:revisionPtr revIDLastSave="1" documentId="8_{F065EAEB-8992-4F3C-8AC4-87070DEE32F1}" xr6:coauthVersionLast="47" xr6:coauthVersionMax="47" xr10:uidLastSave="{6DA2DD15-22E6-4C94-B75C-C174987FFE6C}"/>
  <bookViews>
    <workbookView xWindow="-108" yWindow="-108" windowWidth="23256" windowHeight="12456" xr2:uid="{EBA2B20E-FB0E-4F22-9307-CB9F534582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I5" i="1" s="1"/>
  <c r="D6" i="1"/>
  <c r="I6" i="1" s="1"/>
  <c r="D7" i="1"/>
  <c r="I7" i="1" s="1"/>
  <c r="D8" i="1"/>
  <c r="I8" i="1" s="1"/>
  <c r="D9" i="1"/>
  <c r="I9" i="1" s="1"/>
  <c r="D10" i="1"/>
  <c r="I10" i="1" s="1"/>
  <c r="D11" i="1"/>
  <c r="I11" i="1" s="1"/>
  <c r="D12" i="1"/>
  <c r="I12" i="1" s="1"/>
  <c r="D13" i="1"/>
  <c r="I13" i="1" s="1"/>
  <c r="D14" i="1"/>
  <c r="I14" i="1" s="1"/>
  <c r="D15" i="1"/>
  <c r="I15" i="1" s="1"/>
  <c r="D16" i="1"/>
  <c r="I16" i="1" s="1"/>
  <c r="D17" i="1"/>
  <c r="I17" i="1" s="1"/>
  <c r="D18" i="1"/>
  <c r="I18" i="1" s="1"/>
  <c r="C5" i="1"/>
  <c r="H5" i="1" s="1"/>
  <c r="C6" i="1"/>
  <c r="H6" i="1" s="1"/>
  <c r="C7" i="1"/>
  <c r="H7" i="1" s="1"/>
  <c r="C8" i="1"/>
  <c r="H8" i="1" s="1"/>
  <c r="C9" i="1"/>
  <c r="H9" i="1" s="1"/>
  <c r="C10" i="1"/>
  <c r="H10" i="1" s="1"/>
  <c r="C11" i="1"/>
  <c r="H11" i="1" s="1"/>
  <c r="C12" i="1"/>
  <c r="H12" i="1" s="1"/>
  <c r="C13" i="1"/>
  <c r="H13" i="1" s="1"/>
  <c r="C14" i="1"/>
  <c r="H14" i="1" s="1"/>
  <c r="C15" i="1"/>
  <c r="H15" i="1" s="1"/>
  <c r="C16" i="1"/>
  <c r="H16" i="1" s="1"/>
  <c r="C17" i="1"/>
  <c r="H17" i="1" s="1"/>
  <c r="C18" i="1"/>
  <c r="H18" i="1" s="1"/>
  <c r="F5" i="1"/>
  <c r="K5" i="1" s="1"/>
  <c r="F6" i="1"/>
  <c r="K6" i="1" s="1"/>
  <c r="F7" i="1"/>
  <c r="K7" i="1" s="1"/>
  <c r="F8" i="1"/>
  <c r="K8" i="1" s="1"/>
  <c r="F9" i="1"/>
  <c r="K9" i="1" s="1"/>
  <c r="F10" i="1"/>
  <c r="K10" i="1" s="1"/>
  <c r="F11" i="1"/>
  <c r="K11" i="1" s="1"/>
  <c r="F12" i="1"/>
  <c r="K12" i="1" s="1"/>
  <c r="F13" i="1"/>
  <c r="K13" i="1" s="1"/>
  <c r="F14" i="1"/>
  <c r="K14" i="1" s="1"/>
  <c r="F15" i="1"/>
  <c r="K15" i="1" s="1"/>
  <c r="F16" i="1"/>
  <c r="K16" i="1" s="1"/>
  <c r="F17" i="1"/>
  <c r="K17" i="1" s="1"/>
  <c r="F18" i="1"/>
  <c r="K18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12" i="1"/>
  <c r="J12" i="1" s="1"/>
  <c r="E13" i="1"/>
  <c r="J13" i="1" s="1"/>
  <c r="E14" i="1"/>
  <c r="J14" i="1" s="1"/>
  <c r="E15" i="1"/>
  <c r="J15" i="1" s="1"/>
  <c r="E16" i="1"/>
  <c r="J16" i="1" s="1"/>
  <c r="E17" i="1"/>
  <c r="J17" i="1" s="1"/>
  <c r="E18" i="1"/>
  <c r="J18" i="1" s="1"/>
  <c r="F4" i="1"/>
  <c r="K4" i="1" s="1"/>
  <c r="D4" i="1"/>
  <c r="I4" i="1" s="1"/>
  <c r="E4" i="1"/>
  <c r="J4" i="1" s="1"/>
  <c r="C4" i="1"/>
  <c r="H4" i="1" s="1"/>
  <c r="I22" i="1" l="1"/>
  <c r="K22" i="1"/>
  <c r="H22" i="1"/>
  <c r="J22" i="1"/>
  <c r="I20" i="1"/>
  <c r="H20" i="1"/>
  <c r="J20" i="1"/>
  <c r="K20" i="1"/>
  <c r="H21" i="1"/>
  <c r="I21" i="1"/>
  <c r="J21" i="1"/>
  <c r="K21" i="1"/>
  <c r="F22" i="1"/>
  <c r="E22" i="1"/>
  <c r="D22" i="1"/>
  <c r="F21" i="1"/>
  <c r="E21" i="1"/>
  <c r="D21" i="1"/>
  <c r="C22" i="1"/>
  <c r="C21" i="1"/>
  <c r="M18" i="1"/>
  <c r="M6" i="1"/>
  <c r="M17" i="1"/>
  <c r="M5" i="1"/>
  <c r="F20" i="1"/>
  <c r="E20" i="1"/>
  <c r="M8" i="1"/>
  <c r="D20" i="1"/>
  <c r="C20" i="1"/>
  <c r="M14" i="1"/>
  <c r="M10" i="1"/>
  <c r="M12" i="1"/>
  <c r="M16" i="1"/>
  <c r="M4" i="1"/>
  <c r="M9" i="1"/>
  <c r="M13" i="1"/>
  <c r="M11" i="1"/>
  <c r="M15" i="1"/>
  <c r="M7" i="1"/>
</calcChain>
</file>

<file path=xl/sharedStrings.xml><?xml version="1.0" encoding="utf-8"?>
<sst xmlns="http://schemas.openxmlformats.org/spreadsheetml/2006/main" count="46" uniqueCount="42">
  <si>
    <t>Grade Book</t>
  </si>
  <si>
    <t>LastName</t>
  </si>
  <si>
    <t>Kern</t>
  </si>
  <si>
    <t>Howard</t>
  </si>
  <si>
    <t>O'Donnald</t>
  </si>
  <si>
    <t>Smith</t>
  </si>
  <si>
    <t>Baker</t>
  </si>
  <si>
    <t>Velinda</t>
  </si>
  <si>
    <t>Carnehan</t>
  </si>
  <si>
    <t>Westerfie</t>
  </si>
  <si>
    <t>Penfold</t>
  </si>
  <si>
    <t>Istlington</t>
  </si>
  <si>
    <t>Young</t>
  </si>
  <si>
    <t>Englehear</t>
  </si>
  <si>
    <t>Norman</t>
  </si>
  <si>
    <t>Mann</t>
  </si>
  <si>
    <t>Underhill</t>
  </si>
  <si>
    <t>Jon</t>
  </si>
  <si>
    <t>Glends</t>
  </si>
  <si>
    <t>Wendy</t>
  </si>
  <si>
    <t>Paul</t>
  </si>
  <si>
    <t>Tom</t>
  </si>
  <si>
    <t>Nancy</t>
  </si>
  <si>
    <t>Karen</t>
  </si>
  <si>
    <t>Dennis</t>
  </si>
  <si>
    <t>Sandy</t>
  </si>
  <si>
    <t>Linda</t>
  </si>
  <si>
    <t>Olivia</t>
  </si>
  <si>
    <t>Blessing</t>
  </si>
  <si>
    <t>Chandra</t>
  </si>
  <si>
    <t>Bill</t>
  </si>
  <si>
    <t>Genesis</t>
  </si>
  <si>
    <t>Safety Test</t>
  </si>
  <si>
    <t>Drug Test</t>
  </si>
  <si>
    <t>Company Philosophy Test</t>
  </si>
  <si>
    <t>financial Skills Test</t>
  </si>
  <si>
    <t>Points Possible</t>
  </si>
  <si>
    <t>FristName</t>
  </si>
  <si>
    <t>Fire Employee ?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</si>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</sst>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textRotation="90"/>
    </xf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Safety</a:t>
            </a:r>
            <a:r>
              <a:rPr lang="en-IN" baseline="0"/>
              <a:t> Test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8881233595800524E-2"/>
          <c:y val="2.8194444444444446E-2"/>
          <c:w val="0.90297462817147855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Sheet1!$A$4:$A$18</c:f>
              <c:strCache>
                <c:ptCount val="15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Smith</c:v>
                </c:pt>
                <c:pt idx="4">
                  <c:v>Baker</c:v>
                </c:pt>
                <c:pt idx="5">
                  <c:v>Velinda</c:v>
                </c:pt>
                <c:pt idx="6">
                  <c:v>Carnehan</c:v>
                </c:pt>
                <c:pt idx="7">
                  <c:v>Westerfie</c:v>
                </c:pt>
                <c:pt idx="8">
                  <c:v>Penfold</c:v>
                </c:pt>
                <c:pt idx="9">
                  <c:v>Istlington</c:v>
                </c:pt>
                <c:pt idx="10">
                  <c:v>Young</c:v>
                </c:pt>
                <c:pt idx="11">
                  <c:v>Englehear</c:v>
                </c:pt>
                <c:pt idx="12">
                  <c:v>Norman</c:v>
                </c:pt>
                <c:pt idx="13">
                  <c:v>Mann</c:v>
                </c:pt>
                <c:pt idx="14">
                  <c:v>Underhill</c:v>
                </c:pt>
              </c:strCache>
            </c:strRef>
          </c:cat>
          <c:val>
            <c:numRef>
              <c:f>Sheet1!$C$4:$C$18</c:f>
              <c:numCache>
                <c:formatCode>General</c:formatCode>
                <c:ptCount val="15"/>
                <c:pt idx="0">
                  <c:v>7</c:v>
                </c:pt>
                <c:pt idx="1">
                  <c:v>7</c:v>
                </c:pt>
                <c:pt idx="2">
                  <c:v>8</c:v>
                </c:pt>
                <c:pt idx="3">
                  <c:v>2</c:v>
                </c:pt>
                <c:pt idx="4">
                  <c:v>2</c:v>
                </c:pt>
                <c:pt idx="5">
                  <c:v>6</c:v>
                </c:pt>
                <c:pt idx="6">
                  <c:v>7</c:v>
                </c:pt>
                <c:pt idx="7">
                  <c:v>3</c:v>
                </c:pt>
                <c:pt idx="8">
                  <c:v>2</c:v>
                </c:pt>
                <c:pt idx="9">
                  <c:v>6</c:v>
                </c:pt>
                <c:pt idx="10">
                  <c:v>4</c:v>
                </c:pt>
                <c:pt idx="11">
                  <c:v>1</c:v>
                </c:pt>
                <c:pt idx="12">
                  <c:v>10</c:v>
                </c:pt>
                <c:pt idx="13">
                  <c:v>5</c:v>
                </c:pt>
                <c:pt idx="1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D-4A74-8D48-AD6E0D2E6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4179327"/>
        <c:axId val="884176447"/>
      </c:barChart>
      <c:catAx>
        <c:axId val="88417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176447"/>
        <c:crosses val="autoZero"/>
        <c:auto val="1"/>
        <c:lblAlgn val="ctr"/>
        <c:lblOffset val="100"/>
        <c:noMultiLvlLbl val="0"/>
      </c:catAx>
      <c:valAx>
        <c:axId val="88417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179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91440</xdr:colOff>
      <xdr:row>0</xdr:row>
      <xdr:rowOff>1310640</xdr:rowOff>
    </xdr:from>
    <xdr:to>
      <xdr:col>21</xdr:col>
      <xdr:colOff>396240</xdr:colOff>
      <xdr:row>14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17C868-DBCF-3FCB-9865-6A8C11A10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FAF2-F5DD-40F9-A2ED-9A172551DB0A}">
  <dimension ref="A1:M22"/>
  <sheetViews>
    <sheetView tabSelected="1" workbookViewId="0">
      <selection activeCell="Q18" sqref="Q18"/>
    </sheetView>
  </sheetViews>
  <sheetFormatPr defaultRowHeight="14.4" x14ac:dyDescent="0.3"/>
  <cols>
    <col min="3" max="3" width="5" customWidth="1"/>
    <col min="4" max="4" width="5.5546875" customWidth="1"/>
    <col min="5" max="5" width="5.109375" customWidth="1"/>
    <col min="6" max="6" width="3.88671875" customWidth="1"/>
    <col min="8" max="8" width="8.88671875" customWidth="1"/>
  </cols>
  <sheetData>
    <row r="1" spans="1:13" ht="116.4" x14ac:dyDescent="0.3">
      <c r="A1" t="s">
        <v>0</v>
      </c>
      <c r="C1" s="1" t="s">
        <v>32</v>
      </c>
      <c r="D1" s="1" t="s">
        <v>34</v>
      </c>
      <c r="E1" s="1" t="s">
        <v>35</v>
      </c>
      <c r="F1" s="1" t="s">
        <v>33</v>
      </c>
      <c r="H1" s="1" t="s">
        <v>32</v>
      </c>
      <c r="I1" s="1" t="s">
        <v>34</v>
      </c>
      <c r="J1" s="1" t="s">
        <v>35</v>
      </c>
      <c r="K1" s="1" t="s">
        <v>33</v>
      </c>
      <c r="M1" s="1" t="s">
        <v>38</v>
      </c>
    </row>
    <row r="2" spans="1:13" x14ac:dyDescent="0.3">
      <c r="B2" t="s">
        <v>36</v>
      </c>
      <c r="C2">
        <v>10</v>
      </c>
      <c r="D2">
        <v>20</v>
      </c>
      <c r="E2">
        <v>100</v>
      </c>
      <c r="F2">
        <v>1</v>
      </c>
    </row>
    <row r="3" spans="1:13" x14ac:dyDescent="0.3">
      <c r="A3" t="s">
        <v>1</v>
      </c>
      <c r="B3" t="s">
        <v>37</v>
      </c>
    </row>
    <row r="4" spans="1:13" x14ac:dyDescent="0.3">
      <c r="A4" t="s">
        <v>2</v>
      </c>
      <c r="B4" t="s">
        <v>17</v>
      </c>
      <c r="C4">
        <f ca="1">RANDBETWEEN(1, 10)</f>
        <v>7</v>
      </c>
      <c r="D4">
        <f t="shared" ref="D4:E18" ca="1" si="0">RANDBETWEEN(1, 10)</f>
        <v>10</v>
      </c>
      <c r="E4">
        <f t="shared" ca="1" si="0"/>
        <v>2</v>
      </c>
      <c r="F4">
        <f ca="1">RANDBETWEEN(0, 1)</f>
        <v>1</v>
      </c>
      <c r="H4" s="2">
        <f ca="1">C4/C$2</f>
        <v>0.7</v>
      </c>
      <c r="I4" s="2">
        <f t="shared" ref="I4:K4" ca="1" si="1">D4/D$2</f>
        <v>0.5</v>
      </c>
      <c r="J4" s="2">
        <f t="shared" ca="1" si="1"/>
        <v>0.02</v>
      </c>
      <c r="K4" s="2">
        <f t="shared" ca="1" si="1"/>
        <v>1</v>
      </c>
      <c r="M4" s="2" t="b">
        <f ca="1">OR(H4&lt;30%,I4&lt;20%,J4&lt;8%,K4&lt;30%)</f>
        <v>1</v>
      </c>
    </row>
    <row r="5" spans="1:13" x14ac:dyDescent="0.3">
      <c r="A5" t="s">
        <v>3</v>
      </c>
      <c r="B5" t="s">
        <v>18</v>
      </c>
      <c r="C5">
        <f t="shared" ref="C5:C18" ca="1" si="2">RANDBETWEEN(1, 10)</f>
        <v>7</v>
      </c>
      <c r="D5">
        <f t="shared" ca="1" si="0"/>
        <v>10</v>
      </c>
      <c r="E5">
        <f t="shared" ca="1" si="0"/>
        <v>9</v>
      </c>
      <c r="F5">
        <f t="shared" ref="F5:F18" ca="1" si="3">RANDBETWEEN(0, 1)</f>
        <v>0</v>
      </c>
      <c r="H5" s="2">
        <f t="shared" ref="H5:H18" ca="1" si="4">C5/C$2</f>
        <v>0.7</v>
      </c>
      <c r="I5" s="2">
        <f t="shared" ref="I5:I18" ca="1" si="5">D5/D$2</f>
        <v>0.5</v>
      </c>
      <c r="J5" s="2">
        <f t="shared" ref="J5:J18" ca="1" si="6">E5/E$2</f>
        <v>0.09</v>
      </c>
      <c r="K5" s="2">
        <f t="shared" ref="K5:K18" ca="1" si="7">F5/F$2</f>
        <v>0</v>
      </c>
      <c r="M5" s="2" t="b">
        <f ca="1">OR(H$5&lt;50,I5&lt;50,J5&lt;50,K5&lt;50)</f>
        <v>1</v>
      </c>
    </row>
    <row r="6" spans="1:13" x14ac:dyDescent="0.3">
      <c r="A6" t="s">
        <v>4</v>
      </c>
      <c r="B6" t="s">
        <v>19</v>
      </c>
      <c r="C6">
        <f t="shared" ca="1" si="2"/>
        <v>8</v>
      </c>
      <c r="D6">
        <f t="shared" ca="1" si="0"/>
        <v>2</v>
      </c>
      <c r="E6">
        <f t="shared" ca="1" si="0"/>
        <v>9</v>
      </c>
      <c r="F6">
        <f t="shared" ca="1" si="3"/>
        <v>0</v>
      </c>
      <c r="H6" s="2">
        <f t="shared" ca="1" si="4"/>
        <v>0.8</v>
      </c>
      <c r="I6" s="2">
        <f t="shared" ca="1" si="5"/>
        <v>0.1</v>
      </c>
      <c r="J6" s="2">
        <f t="shared" ca="1" si="6"/>
        <v>0.09</v>
      </c>
      <c r="K6" s="2">
        <f t="shared" ca="1" si="7"/>
        <v>0</v>
      </c>
      <c r="M6" s="2" t="b">
        <f ca="1">OR(H6&lt;50,I6&lt;50,J6&lt;50,K6&lt;50)</f>
        <v>1</v>
      </c>
    </row>
    <row r="7" spans="1:13" x14ac:dyDescent="0.3">
      <c r="A7" t="s">
        <v>5</v>
      </c>
      <c r="B7" t="s">
        <v>20</v>
      </c>
      <c r="C7">
        <f t="shared" ca="1" si="2"/>
        <v>2</v>
      </c>
      <c r="D7">
        <f t="shared" ca="1" si="0"/>
        <v>8</v>
      </c>
      <c r="E7">
        <f t="shared" ca="1" si="0"/>
        <v>2</v>
      </c>
      <c r="F7">
        <f t="shared" ca="1" si="3"/>
        <v>0</v>
      </c>
      <c r="H7" s="2">
        <f t="shared" ca="1" si="4"/>
        <v>0.2</v>
      </c>
      <c r="I7" s="2">
        <f t="shared" ca="1" si="5"/>
        <v>0.4</v>
      </c>
      <c r="J7" s="2">
        <f t="shared" ca="1" si="6"/>
        <v>0.02</v>
      </c>
      <c r="K7" s="2">
        <f t="shared" ca="1" si="7"/>
        <v>0</v>
      </c>
      <c r="M7" s="2" t="b">
        <f t="shared" ref="M7:M18" ca="1" si="8">OR(H7&lt;50,I7&lt;50,J7&lt;50,K7&lt;50)</f>
        <v>1</v>
      </c>
    </row>
    <row r="8" spans="1:13" x14ac:dyDescent="0.3">
      <c r="A8" t="s">
        <v>6</v>
      </c>
      <c r="B8" t="s">
        <v>21</v>
      </c>
      <c r="C8">
        <f t="shared" ca="1" si="2"/>
        <v>2</v>
      </c>
      <c r="D8">
        <f t="shared" ca="1" si="0"/>
        <v>6</v>
      </c>
      <c r="E8">
        <f t="shared" ca="1" si="0"/>
        <v>6</v>
      </c>
      <c r="F8">
        <f t="shared" ca="1" si="3"/>
        <v>0</v>
      </c>
      <c r="H8" s="2">
        <f t="shared" ca="1" si="4"/>
        <v>0.2</v>
      </c>
      <c r="I8" s="2">
        <f t="shared" ca="1" si="5"/>
        <v>0.3</v>
      </c>
      <c r="J8" s="2">
        <f t="shared" ca="1" si="6"/>
        <v>0.06</v>
      </c>
      <c r="K8" s="2">
        <f t="shared" ca="1" si="7"/>
        <v>0</v>
      </c>
      <c r="M8" s="2" t="b">
        <f t="shared" ca="1" si="8"/>
        <v>1</v>
      </c>
    </row>
    <row r="9" spans="1:13" x14ac:dyDescent="0.3">
      <c r="A9" t="s">
        <v>7</v>
      </c>
      <c r="B9" t="s">
        <v>22</v>
      </c>
      <c r="C9">
        <f t="shared" ca="1" si="2"/>
        <v>6</v>
      </c>
      <c r="D9">
        <f t="shared" ca="1" si="0"/>
        <v>6</v>
      </c>
      <c r="E9">
        <f t="shared" ca="1" si="0"/>
        <v>7</v>
      </c>
      <c r="F9">
        <f t="shared" ca="1" si="3"/>
        <v>0</v>
      </c>
      <c r="H9" s="2">
        <f t="shared" ca="1" si="4"/>
        <v>0.6</v>
      </c>
      <c r="I9" s="2">
        <f t="shared" ca="1" si="5"/>
        <v>0.3</v>
      </c>
      <c r="J9" s="2">
        <f t="shared" ca="1" si="6"/>
        <v>7.0000000000000007E-2</v>
      </c>
      <c r="K9" s="2">
        <f t="shared" ca="1" si="7"/>
        <v>0</v>
      </c>
      <c r="M9" s="2" t="b">
        <f t="shared" ca="1" si="8"/>
        <v>1</v>
      </c>
    </row>
    <row r="10" spans="1:13" x14ac:dyDescent="0.3">
      <c r="A10" t="s">
        <v>8</v>
      </c>
      <c r="B10" t="s">
        <v>23</v>
      </c>
      <c r="C10">
        <f t="shared" ca="1" si="2"/>
        <v>7</v>
      </c>
      <c r="D10">
        <f t="shared" ca="1" si="0"/>
        <v>8</v>
      </c>
      <c r="E10">
        <f t="shared" ca="1" si="0"/>
        <v>2</v>
      </c>
      <c r="F10">
        <f t="shared" ca="1" si="3"/>
        <v>0</v>
      </c>
      <c r="H10" s="2">
        <f t="shared" ca="1" si="4"/>
        <v>0.7</v>
      </c>
      <c r="I10" s="2">
        <f t="shared" ca="1" si="5"/>
        <v>0.4</v>
      </c>
      <c r="J10" s="2">
        <f t="shared" ca="1" si="6"/>
        <v>0.02</v>
      </c>
      <c r="K10" s="2">
        <f t="shared" ca="1" si="7"/>
        <v>0</v>
      </c>
      <c r="M10" s="2" t="b">
        <f t="shared" ca="1" si="8"/>
        <v>1</v>
      </c>
    </row>
    <row r="11" spans="1:13" x14ac:dyDescent="0.3">
      <c r="A11" t="s">
        <v>9</v>
      </c>
      <c r="B11" t="s">
        <v>24</v>
      </c>
      <c r="C11">
        <f t="shared" ca="1" si="2"/>
        <v>3</v>
      </c>
      <c r="D11">
        <f t="shared" ca="1" si="0"/>
        <v>9</v>
      </c>
      <c r="E11">
        <f t="shared" ca="1" si="0"/>
        <v>6</v>
      </c>
      <c r="F11">
        <f t="shared" ca="1" si="3"/>
        <v>0</v>
      </c>
      <c r="H11" s="2">
        <f t="shared" ca="1" si="4"/>
        <v>0.3</v>
      </c>
      <c r="I11" s="2">
        <f t="shared" ca="1" si="5"/>
        <v>0.45</v>
      </c>
      <c r="J11" s="2">
        <f t="shared" ca="1" si="6"/>
        <v>0.06</v>
      </c>
      <c r="K11" s="2">
        <f t="shared" ca="1" si="7"/>
        <v>0</v>
      </c>
      <c r="M11" s="2" t="b">
        <f t="shared" ca="1" si="8"/>
        <v>1</v>
      </c>
    </row>
    <row r="12" spans="1:13" x14ac:dyDescent="0.3">
      <c r="A12" t="s">
        <v>10</v>
      </c>
      <c r="B12" t="s">
        <v>25</v>
      </c>
      <c r="C12">
        <f t="shared" ca="1" si="2"/>
        <v>2</v>
      </c>
      <c r="D12">
        <f t="shared" ca="1" si="0"/>
        <v>2</v>
      </c>
      <c r="E12">
        <f t="shared" ca="1" si="0"/>
        <v>9</v>
      </c>
      <c r="F12">
        <f t="shared" ca="1" si="3"/>
        <v>1</v>
      </c>
      <c r="H12" s="2">
        <f t="shared" ca="1" si="4"/>
        <v>0.2</v>
      </c>
      <c r="I12" s="2">
        <f t="shared" ca="1" si="5"/>
        <v>0.1</v>
      </c>
      <c r="J12" s="2">
        <f t="shared" ca="1" si="6"/>
        <v>0.09</v>
      </c>
      <c r="K12" s="2">
        <f t="shared" ca="1" si="7"/>
        <v>1</v>
      </c>
      <c r="M12" s="2" t="b">
        <f t="shared" ca="1" si="8"/>
        <v>1</v>
      </c>
    </row>
    <row r="13" spans="1:13" x14ac:dyDescent="0.3">
      <c r="A13" t="s">
        <v>11</v>
      </c>
      <c r="B13" t="s">
        <v>26</v>
      </c>
      <c r="C13">
        <f t="shared" ca="1" si="2"/>
        <v>6</v>
      </c>
      <c r="D13">
        <f t="shared" ca="1" si="0"/>
        <v>10</v>
      </c>
      <c r="E13">
        <f t="shared" ca="1" si="0"/>
        <v>4</v>
      </c>
      <c r="F13">
        <f t="shared" ca="1" si="3"/>
        <v>0</v>
      </c>
      <c r="H13" s="2">
        <f t="shared" ca="1" si="4"/>
        <v>0.6</v>
      </c>
      <c r="I13" s="2">
        <f t="shared" ca="1" si="5"/>
        <v>0.5</v>
      </c>
      <c r="J13" s="2">
        <f t="shared" ca="1" si="6"/>
        <v>0.04</v>
      </c>
      <c r="K13" s="2">
        <f t="shared" ca="1" si="7"/>
        <v>0</v>
      </c>
      <c r="M13" s="2" t="b">
        <f t="shared" ca="1" si="8"/>
        <v>1</v>
      </c>
    </row>
    <row r="14" spans="1:13" x14ac:dyDescent="0.3">
      <c r="A14" t="s">
        <v>12</v>
      </c>
      <c r="B14" t="s">
        <v>27</v>
      </c>
      <c r="C14">
        <f t="shared" ca="1" si="2"/>
        <v>4</v>
      </c>
      <c r="D14">
        <f t="shared" ca="1" si="0"/>
        <v>9</v>
      </c>
      <c r="E14">
        <f t="shared" ca="1" si="0"/>
        <v>5</v>
      </c>
      <c r="F14">
        <f t="shared" ca="1" si="3"/>
        <v>1</v>
      </c>
      <c r="H14" s="2">
        <f t="shared" ca="1" si="4"/>
        <v>0.4</v>
      </c>
      <c r="I14" s="2">
        <f t="shared" ca="1" si="5"/>
        <v>0.45</v>
      </c>
      <c r="J14" s="2">
        <f t="shared" ca="1" si="6"/>
        <v>0.05</v>
      </c>
      <c r="K14" s="2">
        <f t="shared" ca="1" si="7"/>
        <v>1</v>
      </c>
      <c r="M14" s="2" t="b">
        <f t="shared" ca="1" si="8"/>
        <v>1</v>
      </c>
    </row>
    <row r="15" spans="1:13" x14ac:dyDescent="0.3">
      <c r="A15" t="s">
        <v>13</v>
      </c>
      <c r="B15" t="s">
        <v>28</v>
      </c>
      <c r="C15">
        <f t="shared" ca="1" si="2"/>
        <v>1</v>
      </c>
      <c r="D15">
        <f t="shared" ca="1" si="0"/>
        <v>4</v>
      </c>
      <c r="E15">
        <f t="shared" ca="1" si="0"/>
        <v>4</v>
      </c>
      <c r="F15">
        <f t="shared" ca="1" si="3"/>
        <v>0</v>
      </c>
      <c r="H15" s="2">
        <f t="shared" ca="1" si="4"/>
        <v>0.1</v>
      </c>
      <c r="I15" s="2">
        <f t="shared" ca="1" si="5"/>
        <v>0.2</v>
      </c>
      <c r="J15" s="2">
        <f t="shared" ca="1" si="6"/>
        <v>0.04</v>
      </c>
      <c r="K15" s="2">
        <f t="shared" ca="1" si="7"/>
        <v>0</v>
      </c>
      <c r="M15" s="2" t="b">
        <f t="shared" ca="1" si="8"/>
        <v>1</v>
      </c>
    </row>
    <row r="16" spans="1:13" x14ac:dyDescent="0.3">
      <c r="A16" t="s">
        <v>14</v>
      </c>
      <c r="B16" t="s">
        <v>29</v>
      </c>
      <c r="C16">
        <f t="shared" ca="1" si="2"/>
        <v>10</v>
      </c>
      <c r="D16">
        <f t="shared" ca="1" si="0"/>
        <v>6</v>
      </c>
      <c r="E16">
        <f t="shared" ca="1" si="0"/>
        <v>6</v>
      </c>
      <c r="F16">
        <f t="shared" ca="1" si="3"/>
        <v>1</v>
      </c>
      <c r="H16" s="2">
        <f t="shared" ca="1" si="4"/>
        <v>1</v>
      </c>
      <c r="I16" s="2">
        <f t="shared" ca="1" si="5"/>
        <v>0.3</v>
      </c>
      <c r="J16" s="2">
        <f t="shared" ca="1" si="6"/>
        <v>0.06</v>
      </c>
      <c r="K16" s="2">
        <f t="shared" ca="1" si="7"/>
        <v>1</v>
      </c>
      <c r="M16" s="2" t="b">
        <f t="shared" ca="1" si="8"/>
        <v>1</v>
      </c>
    </row>
    <row r="17" spans="1:13" x14ac:dyDescent="0.3">
      <c r="A17" t="s">
        <v>15</v>
      </c>
      <c r="B17" t="s">
        <v>30</v>
      </c>
      <c r="C17">
        <f t="shared" ca="1" si="2"/>
        <v>5</v>
      </c>
      <c r="D17">
        <f t="shared" ca="1" si="0"/>
        <v>1</v>
      </c>
      <c r="E17">
        <f t="shared" ca="1" si="0"/>
        <v>5</v>
      </c>
      <c r="F17">
        <f t="shared" ca="1" si="3"/>
        <v>1</v>
      </c>
      <c r="H17" s="2">
        <f t="shared" ca="1" si="4"/>
        <v>0.5</v>
      </c>
      <c r="I17" s="2">
        <f t="shared" ca="1" si="5"/>
        <v>0.05</v>
      </c>
      <c r="J17" s="2">
        <f t="shared" ca="1" si="6"/>
        <v>0.05</v>
      </c>
      <c r="K17" s="2">
        <f t="shared" ca="1" si="7"/>
        <v>1</v>
      </c>
      <c r="M17" s="2" t="b">
        <f t="shared" ca="1" si="8"/>
        <v>1</v>
      </c>
    </row>
    <row r="18" spans="1:13" x14ac:dyDescent="0.3">
      <c r="A18" t="s">
        <v>16</v>
      </c>
      <c r="B18" t="s">
        <v>31</v>
      </c>
      <c r="C18">
        <f t="shared" ca="1" si="2"/>
        <v>9</v>
      </c>
      <c r="D18">
        <f t="shared" ca="1" si="0"/>
        <v>7</v>
      </c>
      <c r="E18">
        <f t="shared" ca="1" si="0"/>
        <v>4</v>
      </c>
      <c r="F18">
        <f t="shared" ca="1" si="3"/>
        <v>1</v>
      </c>
      <c r="H18" s="2">
        <f t="shared" ca="1" si="4"/>
        <v>0.9</v>
      </c>
      <c r="I18" s="2">
        <f t="shared" ca="1" si="5"/>
        <v>0.35</v>
      </c>
      <c r="J18" s="2">
        <f t="shared" ca="1" si="6"/>
        <v>0.04</v>
      </c>
      <c r="K18" s="2">
        <f t="shared" ca="1" si="7"/>
        <v>1</v>
      </c>
      <c r="M18" s="2" t="b">
        <f t="shared" ca="1" si="8"/>
        <v>1</v>
      </c>
    </row>
    <row r="19" spans="1:13" x14ac:dyDescent="0.3">
      <c r="H19" s="2"/>
      <c r="I19" s="2"/>
      <c r="J19" s="2"/>
      <c r="K19" s="2"/>
    </row>
    <row r="20" spans="1:13" x14ac:dyDescent="0.3">
      <c r="A20" t="s">
        <v>39</v>
      </c>
      <c r="C20">
        <f ca="1">MAX(C4:C18)</f>
        <v>10</v>
      </c>
      <c r="D20">
        <f t="shared" ref="D20:F20" ca="1" si="9">MAX(D4:D18)</f>
        <v>10</v>
      </c>
      <c r="E20">
        <f t="shared" ca="1" si="9"/>
        <v>9</v>
      </c>
      <c r="F20">
        <f t="shared" ca="1" si="9"/>
        <v>1</v>
      </c>
      <c r="H20">
        <f ca="1">MAX(H4:H18)</f>
        <v>1</v>
      </c>
      <c r="I20">
        <f t="shared" ref="I20:K20" ca="1" si="10">MAX(I4:I18)</f>
        <v>0.5</v>
      </c>
      <c r="J20">
        <f t="shared" ca="1" si="10"/>
        <v>0.09</v>
      </c>
      <c r="K20">
        <f t="shared" ca="1" si="10"/>
        <v>1</v>
      </c>
    </row>
    <row r="21" spans="1:13" x14ac:dyDescent="0.3">
      <c r="A21" t="s">
        <v>40</v>
      </c>
      <c r="C21">
        <f ca="1">MIN(C4:C18)</f>
        <v>1</v>
      </c>
      <c r="D21">
        <f t="shared" ref="D21:F21" ca="1" si="11">MIN(D4:D18)</f>
        <v>1</v>
      </c>
      <c r="E21">
        <f t="shared" ca="1" si="11"/>
        <v>2</v>
      </c>
      <c r="F21">
        <f t="shared" ca="1" si="11"/>
        <v>0</v>
      </c>
      <c r="H21">
        <f ca="1">MIN(H4:H18)</f>
        <v>0.1</v>
      </c>
      <c r="I21">
        <f t="shared" ref="I21:K21" ca="1" si="12">MIN(I4:I18)</f>
        <v>0.05</v>
      </c>
      <c r="J21">
        <f t="shared" ca="1" si="12"/>
        <v>0.02</v>
      </c>
      <c r="K21">
        <f t="shared" ca="1" si="12"/>
        <v>0</v>
      </c>
    </row>
    <row r="22" spans="1:13" x14ac:dyDescent="0.3">
      <c r="A22" t="s">
        <v>41</v>
      </c>
      <c r="C22">
        <f ca="1">AVERAGE(C4:C18)</f>
        <v>5.2666666666666666</v>
      </c>
      <c r="D22">
        <f t="shared" ref="D22:F22" ca="1" si="13">AVERAGE(D4:D18)</f>
        <v>6.5333333333333332</v>
      </c>
      <c r="E22">
        <f t="shared" ca="1" si="13"/>
        <v>5.333333333333333</v>
      </c>
      <c r="F22">
        <f t="shared" ca="1" si="13"/>
        <v>0.4</v>
      </c>
      <c r="H22">
        <f ca="1">AVERAGE(H4:H18)</f>
        <v>0.52666666666666673</v>
      </c>
      <c r="I22">
        <f t="shared" ref="I22:K22" ca="1" si="14">AVERAGE(I4:I18)</f>
        <v>0.32666666666666661</v>
      </c>
      <c r="J22">
        <f t="shared" ca="1" si="14"/>
        <v>5.3333333333333351E-2</v>
      </c>
      <c r="K22">
        <f t="shared" ca="1" si="14"/>
        <v>0.4</v>
      </c>
    </row>
  </sheetData>
  <conditionalFormatting sqref="C20:F20 C4:C18">
    <cfRule type="iconSet" priority="8">
      <iconSet iconSet="4TrafficLights">
        <cfvo type="percent" val="0"/>
        <cfvo type="percent" val="25"/>
        <cfvo type="percent" val="50"/>
        <cfvo type="percent" val="75"/>
      </iconSet>
    </cfRule>
    <cfRule type="iconSet" priority="9">
      <iconSet>
        <cfvo type="percent" val="0"/>
        <cfvo type="percent" val="33"/>
        <cfvo type="percent" val="67"/>
      </iconSet>
    </cfRule>
  </conditionalFormatting>
  <conditionalFormatting sqref="D4:D18">
    <cfRule type="iconSet" priority="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18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18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18 M4:M18">
    <cfRule type="cellIs" dxfId="1" priority="4" operator="lessThan">
      <formula>0.5</formula>
    </cfRule>
  </conditionalFormatting>
  <conditionalFormatting sqref="H20:K20">
    <cfRule type="iconSet" priority="1">
      <iconSet iconSet="4TrafficLights">
        <cfvo type="percent" val="0"/>
        <cfvo type="percent" val="25"/>
        <cfvo type="percent" val="50"/>
        <cfvo type="percent" val="75"/>
      </iconSet>
    </cfRule>
    <cfRule type="iconSet" priority="2">
      <iconSet>
        <cfvo type="percent" val="0"/>
        <cfvo type="percent" val="33"/>
        <cfvo type="percent" val="67"/>
      </iconSet>
    </cfRule>
  </conditionalFormatting>
  <conditionalFormatting sqref="M4:M18">
    <cfRule type="cellIs" dxfId="0" priority="3" operator="equal">
      <formula>TRUE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Mohammad</dc:creator>
  <cp:lastModifiedBy>Sameer Mohammad</cp:lastModifiedBy>
  <dcterms:created xsi:type="dcterms:W3CDTF">2026-01-16T13:02:36Z</dcterms:created>
  <dcterms:modified xsi:type="dcterms:W3CDTF">2026-01-17T08:30:31Z</dcterms:modified>
</cp:coreProperties>
</file>